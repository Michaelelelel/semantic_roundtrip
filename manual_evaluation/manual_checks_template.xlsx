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e963dfeaf545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85237f9c2e145df"/>
    <x:sheet xmlns:r="http://schemas.openxmlformats.org/officeDocument/2006/relationships" name="Verifier_168" sheetId="2" r:id="R74dd1706088a4cb1"/>
    <x:sheet xmlns:r="http://schemas.openxmlformats.org/officeDocument/2006/relationships" name="Style_24" sheetId="3" r:id="Rec7dfe5f25d54495"/>
    <x:sheet xmlns:r="http://schemas.openxmlformats.org/officeDocument/2006/relationships" name="Comic_24" sheetId="5" r:id="R06b14f81e487436c"/>
    <x:sheet xmlns:r="http://schemas.openxmlformats.org/officeDocument/2006/relationships" name="Summary" sheetId="4" r:id="Rf0c0bc78505a4389"/>
  </x:sheets>
</x:workbook>
</file>

<file path=xl/sharedStrings.xml><?xml version="1.0" encoding="utf-8"?>
<x:sst xmlns:x="http://schemas.openxmlformats.org/spreadsheetml/2006/main">
  <x:si>
    <x:t xml:space="preserve">sample_id</x:t>
  </x:si>
  <x:si>
    <x:t xml:space="preserve">source_job</x:t>
  </x:si>
  <x:si>
    <x:t xml:space="preserve">entry_name</x:t>
  </x:si>
  <x:si>
    <x:t xml:space="preserve">pg_model</x:t>
  </x:si>
  <x:si>
    <x:t xml:space="preserve">domain</x:t>
  </x:si>
  <x:si>
    <x:t xml:space="preserve">title</x:t>
  </x:si>
  <x:si>
    <x:t xml:space="preserve">item_key</x:t>
  </x:si>
  <x:si>
    <x:t xml:space="preserve">prompt_seed</x:t>
  </x:si>
  <x:si>
    <x:t xml:space="preserve">image_seed</x:t>
  </x:si>
  <x:si>
    <x:t xml:space="preserve">image_reference</x:t>
  </x:si>
  <x:si>
    <x:t xml:space="preserve">V001</x:t>
  </x:si>
  <x:si>
    <x:t xml:space="preserve">DIRECT_JOB</x:t>
  </x:si>
  <x:si>
    <x:t xml:space="preserve">direct_pg_q25_bi_q25</x:t>
  </x:si>
  <x:si>
    <x:t xml:space="preserve">q25</x:t>
  </x:si>
  <x:si>
    <x:t xml:space="preserve">songs</x:t>
  </x:si>
  <x:si>
    <x:t xml:space="preserve">Imagine</x:t>
  </x:si>
  <x:si>
    <x:t xml:space="preserve">songs_imagine</x:t>
  </x:si>
  <x:si>
    <x:t xml:space="preserve">V002</x:t>
  </x:si>
  <x:si>
    <x:t xml:space="preserve">V003</x:t>
  </x:si>
  <x:si>
    <x:t xml:space="preserve">V004</x:t>
  </x:si>
  <x:si>
    <x:t xml:space="preserve">V005</x:t>
  </x:si>
  <x:si>
    <x:t xml:space="preserve">Yellow Submarine</x:t>
  </x:si>
  <x:si>
    <x:t xml:space="preserve">songs_yellow_submarine</x:t>
  </x:si>
  <x:si>
    <x:t xml:space="preserve">V006</x:t>
  </x:si>
  <x:si>
    <x:t xml:space="preserve">V007</x:t>
  </x:si>
  <x:si>
    <x:t xml:space="preserve">V008</x:t>
  </x:si>
  <x:si>
    <x:t xml:space="preserve">V009</x:t>
  </x:si>
  <x:si>
    <x:t xml:space="preserve">movies</x:t>
  </x:si>
  <x:si>
    <x:t xml:space="preserve">The Matrix</x:t>
  </x:si>
  <x:si>
    <x:t xml:space="preserve">movies_the_matrix</x:t>
  </x:si>
  <x:si>
    <x:t xml:space="preserve">V010</x:t>
  </x:si>
  <x:si>
    <x:t xml:space="preserve">V011</x:t>
  </x:si>
  <x:si>
    <x:t xml:space="preserve">V012</x:t>
  </x:si>
  <x:si>
    <x:t xml:space="preserve">V013</x:t>
  </x:si>
  <x:si>
    <x:t xml:space="preserve">Iron Man</x:t>
  </x:si>
  <x:si>
    <x:t xml:space="preserve">movies_iron_man</x:t>
  </x:si>
  <x:si>
    <x:t xml:space="preserve">V014</x:t>
  </x:si>
  <x:si>
    <x:t xml:space="preserve">V015</x:t>
  </x:si>
  <x:si>
    <x:t xml:space="preserve">V016</x:t>
  </x:si>
  <x:si>
    <x:t xml:space="preserve">V017</x:t>
  </x:si>
  <x:si>
    <x:t xml:space="preserve">bands</x:t>
  </x:si>
  <x:si>
    <x:t xml:space="preserve">Queen</x:t>
  </x:si>
  <x:si>
    <x:t xml:space="preserve">bands_queen</x:t>
  </x:si>
  <x:si>
    <x:t xml:space="preserve">V018</x:t>
  </x:si>
  <x:si>
    <x:t xml:space="preserve">V019</x:t>
  </x:si>
  <x:si>
    <x:t xml:space="preserve">V020</x:t>
  </x:si>
  <x:si>
    <x:t xml:space="preserve">V021</x:t>
  </x:si>
  <x:si>
    <x:t xml:space="preserve">Nirvana</x:t>
  </x:si>
  <x:si>
    <x:t xml:space="preserve">bands_nirvana</x:t>
  </x:si>
  <x:si>
    <x:t xml:space="preserve">V022</x:t>
  </x:si>
  <x:si>
    <x:t xml:space="preserve">V023</x:t>
  </x:si>
  <x:si>
    <x:t xml:space="preserve">V024</x:t>
  </x:si>
  <x:si>
    <x:t xml:space="preserve">V025</x:t>
  </x:si>
  <x:si>
    <x:t xml:space="preserve">direct_pg_q38_bi_q38</x:t>
  </x:si>
  <x:si>
    <x:t xml:space="preserve">q38</x:t>
  </x:si>
  <x:si>
    <x:t xml:space="preserve">V026</x:t>
  </x:si>
  <x:si>
    <x:t xml:space="preserve">V027</x:t>
  </x:si>
  <x:si>
    <x:t xml:space="preserve">V028</x:t>
  </x:si>
  <x:si>
    <x:t xml:space="preserve">V029</x:t>
  </x:si>
  <x:si>
    <x:t xml:space="preserve">V030</x:t>
  </x:si>
  <x:si>
    <x:t xml:space="preserve">V031</x:t>
  </x:si>
  <x:si>
    <x:t xml:space="preserve">V032</x:t>
  </x:si>
  <x:si>
    <x:t xml:space="preserve">V033</x:t>
  </x:si>
  <x:si>
    <x:t xml:space="preserve">V034</x:t>
  </x:si>
  <x:si>
    <x:t xml:space="preserve">V035</x:t>
  </x:si>
  <x:si>
    <x:t xml:space="preserve">V036</x:t>
  </x:si>
  <x:si>
    <x:t xml:space="preserve">V037</x:t>
  </x:si>
  <x:si>
    <x:t xml:space="preserve">V038</x:t>
  </x:si>
  <x:si>
    <x:t xml:space="preserve">V039</x:t>
  </x:si>
  <x:si>
    <x:t xml:space="preserve">V040</x:t>
  </x:si>
  <x:si>
    <x:t xml:space="preserve">V041</x:t>
  </x:si>
  <x:si>
    <x:t xml:space="preserve">V042</x:t>
  </x:si>
  <x:si>
    <x:t xml:space="preserve">V043</x:t>
  </x:si>
  <x:si>
    <x:t xml:space="preserve">V044</x:t>
  </x:si>
  <x:si>
    <x:t xml:space="preserve">V045</x:t>
  </x:si>
  <x:si>
    <x:t xml:space="preserve">V046</x:t>
  </x:si>
  <x:si>
    <x:t xml:space="preserve">V047</x:t>
  </x:si>
  <x:si>
    <x:t xml:space="preserve">V048</x:t>
  </x:si>
  <x:si>
    <x:t xml:space="preserve">V049</x:t>
  </x:si>
  <x:si>
    <x:t xml:space="preserve">direct_pg_g3_bi_g3</x:t>
  </x:si>
  <x:si>
    <x:t xml:space="preserve">g3</x:t>
  </x:si>
  <x:si>
    <x:t xml:space="preserve">V050</x:t>
  </x:si>
  <x:si>
    <x:t xml:space="preserve">V051</x:t>
  </x:si>
  <x:si>
    <x:t xml:space="preserve">V052</x:t>
  </x:si>
  <x:si>
    <x:t xml:space="preserve">V053</x:t>
  </x:si>
  <x:si>
    <x:t xml:space="preserve">V054</x:t>
  </x:si>
  <x:si>
    <x:t xml:space="preserve">V055</x:t>
  </x:si>
  <x:si>
    <x:t xml:space="preserve">V056</x:t>
  </x:si>
  <x:si>
    <x:t xml:space="preserve">V057</x:t>
  </x:si>
  <x:si>
    <x:t xml:space="preserve">V058</x:t>
  </x:si>
  <x:si>
    <x:t xml:space="preserve">V059</x:t>
  </x:si>
  <x:si>
    <x:t xml:space="preserve">V060</x:t>
  </x:si>
  <x:si>
    <x:t xml:space="preserve">V061</x:t>
  </x:si>
  <x:si>
    <x:t xml:space="preserve">V062</x:t>
  </x:si>
  <x:si>
    <x:t xml:space="preserve">V063</x:t>
  </x:si>
  <x:si>
    <x:t xml:space="preserve">V064</x:t>
  </x:si>
  <x:si>
    <x:t xml:space="preserve">V065</x:t>
  </x:si>
  <x:si>
    <x:t xml:space="preserve">V066</x:t>
  </x:si>
  <x:si>
    <x:t xml:space="preserve">V067</x:t>
  </x:si>
  <x:si>
    <x:t xml:space="preserve">V068</x:t>
  </x:si>
  <x:si>
    <x:t xml:space="preserve">V069</x:t>
  </x:si>
  <x:si>
    <x:t xml:space="preserve">V070</x:t>
  </x:si>
  <x:si>
    <x:t xml:space="preserve">V071</x:t>
  </x:si>
  <x:si>
    <x:t xml:space="preserve">V072</x:t>
  </x:si>
  <x:si>
    <x:t xml:space="preserve">V073</x:t>
  </x:si>
  <x:si>
    <x:t xml:space="preserve">direct_pg_g4_bi_g4</x:t>
  </x:si>
  <x:si>
    <x:t xml:space="preserve">g4</x:t>
  </x:si>
  <x:si>
    <x:t xml:space="preserve">V074</x:t>
  </x:si>
  <x:si>
    <x:t xml:space="preserve">V075</x:t>
  </x:si>
  <x:si>
    <x:t xml:space="preserve">V076</x:t>
  </x:si>
  <x:si>
    <x:t xml:space="preserve">V077</x:t>
  </x:si>
  <x:si>
    <x:t xml:space="preserve">V078</x:t>
  </x:si>
  <x:si>
    <x:t xml:space="preserve">V079</x:t>
  </x:si>
  <x:si>
    <x:t xml:space="preserve">V080</x:t>
  </x:si>
  <x:si>
    <x:t xml:space="preserve">V081</x:t>
  </x:si>
  <x:si>
    <x:t xml:space="preserve">V082</x:t>
  </x:si>
  <x:si>
    <x:t xml:space="preserve">V083</x:t>
  </x:si>
  <x:si>
    <x:t xml:space="preserve">V084</x:t>
  </x:si>
  <x:si>
    <x:t xml:space="preserve">V085</x:t>
  </x:si>
  <x:si>
    <x:t xml:space="preserve">V086</x:t>
  </x:si>
  <x:si>
    <x:t xml:space="preserve">V087</x:t>
  </x:si>
  <x:si>
    <x:t xml:space="preserve">V088</x:t>
  </x:si>
  <x:si>
    <x:t xml:space="preserve">V089</x:t>
  </x:si>
  <x:si>
    <x:t xml:space="preserve">V090</x:t>
  </x:si>
  <x:si>
    <x:t xml:space="preserve">V091</x:t>
  </x:si>
  <x:si>
    <x:t xml:space="preserve">V092</x:t>
  </x:si>
  <x:si>
    <x:t xml:space="preserve">V093</x:t>
  </x:si>
  <x:si>
    <x:t xml:space="preserve">V094</x:t>
  </x:si>
  <x:si>
    <x:t xml:space="preserve">V095</x:t>
  </x:si>
  <x:si>
    <x:t xml:space="preserve">V096</x:t>
  </x:si>
  <x:si>
    <x:t xml:space="preserve">V097</x:t>
  </x:si>
  <x:si>
    <x:t xml:space="preserve">INDIRECT_JOB</x:t>
  </x:si>
  <x:si>
    <x:t xml:space="preserve">indirect_pg_d32_bb_q25_bi_d32</x:t>
  </x:si>
  <x:si>
    <x:t xml:space="preserve">d32</x:t>
  </x:si>
  <x:si>
    <x:t xml:space="preserve">V098</x:t>
  </x:si>
  <x:si>
    <x:t xml:space="preserve">V099</x:t>
  </x:si>
  <x:si>
    <x:t xml:space="preserve">V100</x:t>
  </x:si>
  <x:si>
    <x:t xml:space="preserve">V101</x:t>
  </x:si>
  <x:si>
    <x:t xml:space="preserve">V102</x:t>
  </x:si>
  <x:si>
    <x:t xml:space="preserve">V103</x:t>
  </x:si>
  <x:si>
    <x:t xml:space="preserve">V104</x:t>
  </x:si>
  <x:si>
    <x:t xml:space="preserve">V105</x:t>
  </x:si>
  <x:si>
    <x:t xml:space="preserve">V106</x:t>
  </x:si>
  <x:si>
    <x:t xml:space="preserve">V107</x:t>
  </x:si>
  <x:si>
    <x:t xml:space="preserve">V108</x:t>
  </x:si>
  <x:si>
    <x:t xml:space="preserve">V109</x:t>
  </x:si>
  <x:si>
    <x:t xml:space="preserve">V110</x:t>
  </x:si>
  <x:si>
    <x:t xml:space="preserve">V111</x:t>
  </x:si>
  <x:si>
    <x:t xml:space="preserve">V112</x:t>
  </x:si>
  <x:si>
    <x:t xml:space="preserve">V113</x:t>
  </x:si>
  <x:si>
    <x:t xml:space="preserve">V114</x:t>
  </x:si>
  <x:si>
    <x:t xml:space="preserve">V115</x:t>
  </x:si>
  <x:si>
    <x:t xml:space="preserve">V116</x:t>
  </x:si>
  <x:si>
    <x:t xml:space="preserve">V117</x:t>
  </x:si>
  <x:si>
    <x:t xml:space="preserve">V118</x:t>
  </x:si>
  <x:si>
    <x:t xml:space="preserve">V119</x:t>
  </x:si>
  <x:si>
    <x:t xml:space="preserve">V120</x:t>
  </x:si>
  <x:si>
    <x:t xml:space="preserve">V121</x:t>
  </x:si>
  <x:si>
    <x:t xml:space="preserve">indirect_pg_o120_bb_q25_bi_d32</x:t>
  </x:si>
  <x:si>
    <x:t xml:space="preserve">o120</x:t>
  </x:si>
  <x:si>
    <x:t xml:space="preserve">V122</x:t>
  </x:si>
  <x:si>
    <x:t xml:space="preserve">V123</x:t>
  </x:si>
  <x:si>
    <x:t xml:space="preserve">V124</x:t>
  </x:si>
  <x:si>
    <x:t xml:space="preserve">V125</x:t>
  </x:si>
  <x:si>
    <x:t xml:space="preserve">V126</x:t>
  </x:si>
  <x:si>
    <x:t xml:space="preserve">V127</x:t>
  </x:si>
  <x:si>
    <x:t xml:space="preserve">V128</x:t>
  </x:si>
  <x:si>
    <x:t xml:space="preserve">V129</x:t>
  </x:si>
  <x:si>
    <x:t xml:space="preserve">V130</x:t>
  </x:si>
  <x:si>
    <x:t xml:space="preserve">V131</x:t>
  </x:si>
  <x:si>
    <x:t xml:space="preserve">V132</x:t>
  </x:si>
  <x:si>
    <x:t xml:space="preserve">V133</x:t>
  </x:si>
  <x:si>
    <x:t xml:space="preserve">V134</x:t>
  </x:si>
  <x:si>
    <x:t xml:space="preserve">V135</x:t>
  </x:si>
  <x:si>
    <x:t xml:space="preserve">V136</x:t>
  </x:si>
  <x:si>
    <x:t xml:space="preserve">V137</x:t>
  </x:si>
  <x:si>
    <x:t xml:space="preserve">V138</x:t>
  </x:si>
  <x:si>
    <x:t xml:space="preserve">V139</x:t>
  </x:si>
  <x:si>
    <x:t xml:space="preserve">V140</x:t>
  </x:si>
  <x:si>
    <x:t xml:space="preserve">V141</x:t>
  </x:si>
  <x:si>
    <x:t xml:space="preserve">V142</x:t>
  </x:si>
  <x:si>
    <x:t xml:space="preserve">V143</x:t>
  </x:si>
  <x:si>
    <x:t xml:space="preserve">V144</x:t>
  </x:si>
  <x:si>
    <x:t xml:space="preserve">V145</x:t>
  </x:si>
  <x:si>
    <x:t xml:space="preserve">AQUEDUCT_JOB</x:t>
  </x:si>
  <x:si>
    <x:t xml:space="preserve">indirect_pg_v4_bb_q25_bi_d32</x:t>
  </x:si>
  <x:si>
    <x:t xml:space="preserve">v4</x:t>
  </x:si>
  <x:si>
    <x:t xml:space="preserve">V146</x:t>
  </x:si>
  <x:si>
    <x:t xml:space="preserve">V147</x:t>
  </x:si>
  <x:si>
    <x:t xml:space="preserve">V148</x:t>
  </x:si>
  <x:si>
    <x:t xml:space="preserve">V149</x:t>
  </x:si>
  <x:si>
    <x:t xml:space="preserve">V150</x:t>
  </x:si>
  <x:si>
    <x:t xml:space="preserve">V151</x:t>
  </x:si>
  <x:si>
    <x:t xml:space="preserve">V152</x:t>
  </x:si>
  <x:si>
    <x:t xml:space="preserve">V153</x:t>
  </x:si>
  <x:si>
    <x:t xml:space="preserve">V154</x:t>
  </x:si>
  <x:si>
    <x:t xml:space="preserve">V155</x:t>
  </x:si>
  <x:si>
    <x:t xml:space="preserve">V156</x:t>
  </x:si>
  <x:si>
    <x:t xml:space="preserve">V157</x:t>
  </x:si>
  <x:si>
    <x:t xml:space="preserve">V158</x:t>
  </x:si>
  <x:si>
    <x:t xml:space="preserve">V159</x:t>
  </x:si>
  <x:si>
    <x:t xml:space="preserve">V160</x:t>
  </x:si>
  <x:si>
    <x:t xml:space="preserve">V161</x:t>
  </x:si>
  <x:si>
    <x:t xml:space="preserve">V162</x:t>
  </x:si>
  <x:si>
    <x:t xml:space="preserve">V163</x:t>
  </x:si>
  <x:si>
    <x:t xml:space="preserve">V164</x:t>
  </x:si>
  <x:si>
    <x:t xml:space="preserve">V165</x:t>
  </x:si>
  <x:si>
    <x:t xml:space="preserve">V166</x:t>
  </x:si>
  <x:si>
    <x:t xml:space="preserve">V167</x:t>
  </x:si>
  <x:si>
    <x:t xml:space="preserve">V168</x:t>
  </x:si>
  <x:si>
    <x:t xml:space="preserve">style_adherent</x:t>
  </x:si>
  <x:si>
    <x:t xml:space="preserve">manual_accept</x:t>
  </x:si>
  <x:si>
    <x:t xml:space="preserve">notes</x:t>
  </x:si>
  <x:si>
    <x:t xml:space="preserve">S001</x:t>
  </x:si>
  <x:si>
    <x:t xml:space="preserve">SKETCH_JOB</x:t>
  </x:si>
  <x:si>
    <x:t xml:space="preserve">S002</x:t>
  </x:si>
  <x:si>
    <x:t xml:space="preserve">S003</x:t>
  </x:si>
  <x:si>
    <x:t xml:space="preserve">S004</x:t>
  </x:si>
  <x:si>
    <x:t xml:space="preserve">S005</x:t>
  </x:si>
  <x:si>
    <x:t xml:space="preserve">S006</x:t>
  </x:si>
  <x:si>
    <x:t xml:space="preserve">S007</x:t>
  </x:si>
  <x:si>
    <x:t xml:space="preserve">S008</x:t>
  </x:si>
  <x:si>
    <x:t xml:space="preserve">S009</x:t>
  </x:si>
  <x:si>
    <x:t xml:space="preserve">S010</x:t>
  </x:si>
  <x:si>
    <x:t xml:space="preserve">S011</x:t>
  </x:si>
  <x:si>
    <x:t xml:space="preserve">S012</x:t>
  </x:si>
  <x:si>
    <x:t xml:space="preserve">S013</x:t>
  </x:si>
  <x:si>
    <x:t xml:space="preserve">S014</x:t>
  </x:si>
  <x:si>
    <x:t xml:space="preserve">S015</x:t>
  </x:si>
  <x:si>
    <x:t xml:space="preserve">S016</x:t>
  </x:si>
  <x:si>
    <x:t xml:space="preserve">S017</x:t>
  </x:si>
  <x:si>
    <x:t xml:space="preserve">S018</x:t>
  </x:si>
  <x:si>
    <x:t xml:space="preserve">S019</x:t>
  </x:si>
  <x:si>
    <x:t xml:space="preserve">S020</x:t>
  </x:si>
  <x:si>
    <x:t xml:space="preserve">S021</x:t>
  </x:si>
  <x:si>
    <x:t xml:space="preserve">S022</x:t>
  </x:si>
  <x:si>
    <x:t xml:space="preserve">S023</x:t>
  </x:si>
  <x:si>
    <x:t xml:space="preserve">S024</x:t>
  </x:si>
  <x:si>
    <x:t xml:space="preserve">C001</x:t>
  </x:si>
  <x:si>
    <x:t xml:space="preserve">COMIC_JOB</x:t>
  </x:si>
  <x:si>
    <x:t xml:space="preserve">C002</x:t>
  </x:si>
  <x:si>
    <x:t xml:space="preserve">C003</x:t>
  </x:si>
  <x:si>
    <x:t xml:space="preserve">C004</x:t>
  </x:si>
  <x:si>
    <x:t xml:space="preserve">C005</x:t>
  </x:si>
  <x:si>
    <x:t xml:space="preserve">C006</x:t>
  </x:si>
  <x:si>
    <x:t xml:space="preserve">C007</x:t>
  </x:si>
  <x:si>
    <x:t xml:space="preserve">C008</x:t>
  </x:si>
  <x:si>
    <x:t xml:space="preserve">C009</x:t>
  </x:si>
  <x:si>
    <x:t xml:space="preserve">C010</x:t>
  </x:si>
  <x:si>
    <x:t xml:space="preserve">C011</x:t>
  </x:si>
  <x:si>
    <x:t xml:space="preserve">C012</x:t>
  </x:si>
  <x:si>
    <x:t xml:space="preserve">C013</x:t>
  </x:si>
  <x:si>
    <x:t xml:space="preserve">C014</x:t>
  </x:si>
  <x:si>
    <x:t xml:space="preserve">C015</x:t>
  </x:si>
  <x:si>
    <x:t xml:space="preserve">C016</x:t>
  </x:si>
  <x:si>
    <x:t xml:space="preserve">C017</x:t>
  </x:si>
  <x:si>
    <x:t xml:space="preserve">C018</x:t>
  </x:si>
  <x:si>
    <x:t xml:space="preserve">C019</x:t>
  </x:si>
  <x:si>
    <x:t xml:space="preserve">C020</x:t>
  </x:si>
  <x:si>
    <x:t xml:space="preserve">C021</x:t>
  </x:si>
  <x:si>
    <x:t xml:space="preserve">C022</x:t>
  </x:si>
  <x:si>
    <x:t xml:space="preserve">C023</x:t>
  </x:si>
  <x:si>
    <x:t xml:space="preserve">C024</x:t>
  </x:si>
  <x:si>
    <x:t xml:space="preserve">Manual evaluation summary</x:t>
  </x:si>
  <x:si>
    <x:t xml:space="preserve">Wilson z (95%)</x:t>
  </x:si>
  <x:si>
    <x:t xml:space="preserve">Completion</x:t>
  </x:si>
  <x:si>
    <x:t xml:space="preserve">Completed</x:t>
  </x:si>
  <x:si>
    <x:t xml:space="preserve">Total</x:t>
  </x:si>
  <x:si>
    <x:t xml:space="preserve">Rate</x:t>
  </x:si>
  <x:si>
    <x:t xml:space="preserve">Sketch adherence labels</x:t>
  </x:si>
  <x:si>
    <x:t xml:space="preserve">Sketch manual text labels</x:t>
  </x:si>
  <x:si>
    <x:t xml:space="preserve">Count</x:t>
  </x:si>
  <x:si>
    <x:t xml:space="preserve">Wilson low</x:t>
  </x:si>
  <x:si>
    <x:t xml:space="preserve">Wilson high</x:t>
  </x:si>
  <x:si>
    <x:t xml:space="preserve">Completed pairs</x:t>
  </x:si>
  <x:si>
    <x:t xml:space="preserve">Agreement</x:t>
  </x:si>
  <x:si>
    <x:t xml:space="preserve">False accept</x:t>
  </x:si>
  <x:si>
    <x:t xml:space="preserve">False reject</x:t>
  </x:si>
  <x:si>
    <x:t xml:space="preserve">Invalid</x:t>
  </x:si>
  <x:si>
    <x:t xml:space="preserve">Valid decisions</x:t>
  </x:si>
  <x:si>
    <x:t xml:space="preserve">Valid-decision agreement</x:t>
  </x:si>
  <x:si>
    <x:t xml:space="preserve">n</x:t>
  </x:si>
  <x:si>
    <x:t xml:space="preserve">agreement</x:t>
  </x:si>
  <x:si>
    <x:t xml:space="preserve">rate</x:t>
  </x:si>
  <x:si>
    <x:t xml:space="preserve">false_accept</x:t>
  </x:si>
  <x:si>
    <x:t xml:space="preserve">false_reject</x:t>
  </x:si>
  <x:si>
    <x:t xml:space="preserve">invalid</x:t>
  </x:si>
  <x:si>
    <x:t xml:space="preserve">Sketch style</x:t>
  </x:si>
  <x:si>
    <x:t xml:space="preserve">Labels completed</x:t>
  </x:si>
  <x:si>
    <x:t xml:space="preserve">Style adherent</x:t>
  </x:si>
  <x:si>
    <x:t xml:space="preserve">Manual text accept</x:t>
  </x:si>
  <x:si>
    <x:t xml:space="preserve">Style by PG</x:t>
  </x:si>
  <x:si>
    <x:t xml:space="preserve">adherent</x:t>
  </x:si>
  <x:si>
    <x:t xml:space="preserve">Style by domain</x:t>
  </x:si>
  <x:si>
    <x:t xml:space="preserve">Comic style</x:t>
  </x:si>
  <x:si>
    <x:t xml:space="preserve">Comic by PG</x:t>
  </x:si>
  <x:si>
    <x:t xml:space="preserve">Comic by domain</x:t>
  </x:si>
</x:sst>
</file>

<file path=xl/styles.xml><?xml version="1.0" encoding="utf-8"?>
<x:styleSheet xmlns:x="http://schemas.openxmlformats.org/spreadsheetml/2006/main">
  <x:numFmts count="2">
    <x:numFmt numFmtId="164" formatCode="0.000000"/>
    <x:numFmt numFmtId="165" formatCode="0.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87A7A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7E6E6"/>
      </x:patternFill>
    </x:fill>
    <x:fill>
      <x:patternFill patternType="solid">
        <x:fgColor rgb="FF187A7A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7E6E6"/>
      </x:patternFill>
    </x:fill>
    <x:fill>
      <x:patternFill patternType="solid">
        <x:fgColor rgb="FF1F8080"/>
      </x:patternFill>
    </x:fill>
  </x:fills>
  <x:borders count="14">
    <x:border/>
    <x:border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top style="thin">
        <x:color rgb="FFD9E2E8"/>
      </x:top>
      <x:bottom style="thin">
        <x:color rgb="FFAAB7C2"/>
      </x:bottom>
    </x:border>
    <x:border>
      <x:left style="thin">
        <x:color rgb="FFAAB7C2"/>
      </x:left>
      <x:top style="thin">
        <x:color rgb="FFAAB7C2"/>
      </x:top>
    </x:border>
    <x:border>
      <x:right style="thin">
        <x:color rgb="FFAAB7C2"/>
      </x:right>
      <x:top style="thin">
        <x:color rgb="FFAAB7C2"/>
      </x:top>
    </x:border>
    <x:border>
      <x:left style="thin">
        <x:color rgb="FFAAB7C2"/>
      </x:left>
      <x:bottom style="thin">
        <x:color rgb="FFAAB7C2"/>
      </x:bottom>
    </x:border>
    <x:border>
      <x:right style="thin">
        <x:color rgb="FFAAB7C2"/>
      </x:right>
      <x:bottom style="thin">
        <x:color rgb="FFAAB7C2"/>
      </x:bottom>
    </x:border>
    <x:border>
      <x:right style="thin">
        <x:color rgb="FFB7C9D6"/>
      </x:right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</x:border>
    <x:border>
      <x:bottom style="thin">
        <x:color rgb="FFD5E0E6"/>
      </x:bottom>
    </x:border>
    <x:border>
      <x:top style="thin">
        <x:color rgb="FFD5E0E6"/>
      </x:top>
      <x:bottom style="thin">
        <x:color rgb="FFB8C6CE"/>
      </x:bottom>
    </x:border>
    <x:border>
      <x:top style="thin">
        <x:color rgb="FFD5E0E6"/>
      </x:top>
      <x:bottom style="thin">
        <x:color rgb="FFD5E0E6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Border="1" applyAlignment="1">
      <x:alignment wrapText="1"/>
    </x:xf>
    <x:xf numFmtId="0" fontId="0" fillId="0" borderId="2" xfId="0" applyBorder="1" applyAlignment="1">
      <x:alignment wrapText="1"/>
    </x:xf>
    <x:xf numFmtId="0" fontId="0" fillId="0" borderId="3" xfId="0" applyBorder="1" applyAlignment="1">
      <x:alignment wrapText="1"/>
    </x:xf>
    <x:xf numFmtId="0" fontId="0" fillId="0" borderId="1" xfId="0" applyBorder="1" applyAlignment="1">
      <x:alignment horizontal="center" wrapText="1"/>
    </x:xf>
    <x:xf numFmtId="0" fontId="0" fillId="0" borderId="2" xfId="0" applyBorder="1" applyAlignment="1">
      <x:alignment horizontal="center" wrapText="1"/>
    </x:xf>
    <x:xf numFmtId="0" fontId="0" fillId="0" borderId="3" xfId="0" applyBorder="1" applyAlignment="1">
      <x:alignment horizontal="center" wrapText="1"/>
    </x:xf>
    <x:xf numFmtId="0" fontId="0" fillId="0" borderId="4" xfId="0" applyBorder="1"/>
    <x:xf numFmtId="0" fontId="0" fillId="0" borderId="5" xfId="0" applyBorder="1"/>
    <x:xf numFmtId="0" fontId="0" fillId="0" borderId="6" xfId="0" applyBorder="1"/>
    <x:xf numFmtId="0" fontId="0" fillId="0" borderId="7" xfId="0" applyBorder="1"/>
    <x:xf numFmtId="0" fontId="2" fillId="3" borderId="8" xfId="0" applyFont="1" applyFill="1" applyBorder="1" applyAlignment="1">
      <x:alignment vertical="center" wrapText="1"/>
    </x:xf>
    <x:xf numFmtId="0" fontId="2" fillId="3" borderId="9" xfId="0" applyFont="1" applyFill="1" applyBorder="1" applyAlignment="1">
      <x:alignment vertical="center" wrapText="1"/>
    </x:xf>
    <x:xf numFmtId="0" fontId="2" fillId="3" borderId="10" xfId="0" applyFont="1" applyFill="1" applyBorder="1" applyAlignment="1">
      <x:alignment vertical="center" wrapText="1"/>
    </x:xf>
    <x:xf numFmtId="0" fontId="0" fillId="0" borderId="1" xfId="0" applyBorder="1"/>
    <x:xf numFmtId="0" fontId="0" fillId="4" borderId="1" xfId="0" applyFill="1" applyBorder="1"/>
    <x:xf numFmtId="0" fontId="0" fillId="0" borderId="2" xfId="0" applyBorder="1"/>
    <x:xf numFmtId="0" fontId="0" fillId="4" borderId="2" xfId="0" applyFill="1" applyBorder="1"/>
    <x:xf numFmtId="0" fontId="0" fillId="0" borderId="3" xfId="0" applyBorder="1"/>
    <x:xf numFmtId="0" fontId="0" fillId="4" borderId="3" xfId="0" applyFill="1" applyBorder="1"/>
    <x:xf numFmtId="0" fontId="0" fillId="0" borderId="1" xfId="0" applyBorder="1" applyAlignment="1">
      <x:alignment vertical="center"/>
    </x:xf>
    <x:xf numFmtId="0" fontId="0" fillId="4" borderId="1" xfId="0" applyFill="1" applyBorder="1" applyAlignment="1">
      <x:alignment vertical="center"/>
    </x:xf>
    <x:xf numFmtId="0" fontId="0" fillId="5" borderId="1" xfId="0" applyFill="1" applyBorder="1" applyAlignment="1">
      <x:alignment vertical="center"/>
    </x:xf>
    <x:xf numFmtId="0" fontId="0" fillId="6" borderId="1" xfId="0" applyFill="1" applyBorder="1" applyAlignment="1">
      <x:alignment vertical="center"/>
    </x:xf>
    <x:xf numFmtId="0" fontId="0" fillId="0" borderId="2" xfId="0" applyBorder="1" applyAlignment="1">
      <x:alignment vertical="center"/>
    </x:xf>
    <x:xf numFmtId="0" fontId="0" fillId="4" borderId="2" xfId="0" applyFill="1" applyBorder="1" applyAlignment="1">
      <x:alignment vertical="center"/>
    </x:xf>
    <x:xf numFmtId="0" fontId="0" fillId="5" borderId="2" xfId="0" applyFill="1" applyBorder="1" applyAlignment="1">
      <x:alignment vertical="center"/>
    </x:xf>
    <x:xf numFmtId="0" fontId="0" fillId="6" borderId="2" xfId="0" applyFill="1" applyBorder="1" applyAlignment="1">
      <x:alignment vertical="center"/>
    </x:xf>
    <x:xf numFmtId="0" fontId="0" fillId="0" borderId="3" xfId="0" applyBorder="1" applyAlignment="1">
      <x:alignment vertical="center"/>
    </x:xf>
    <x:xf numFmtId="0" fontId="0" fillId="4" borderId="3" xfId="0" applyFill="1" applyBorder="1" applyAlignment="1">
      <x:alignment vertical="center"/>
    </x:xf>
    <x:xf numFmtId="0" fontId="0" fillId="5" borderId="3" xfId="0" applyFill="1" applyBorder="1" applyAlignment="1">
      <x:alignment vertical="center"/>
    </x:xf>
    <x:xf numFmtId="0" fontId="0" fillId="6" borderId="3" xfId="0" applyFill="1" applyBorder="1" applyAlignment="1">
      <x:alignment vertical="center"/>
    </x:xf>
    <x:xf numFmtId="1" fontId="0" fillId="0" borderId="1" xfId="0" applyNumberFormat="1" applyBorder="1" applyAlignment="1">
      <x:alignment vertical="center"/>
    </x:xf>
    <x:xf numFmtId="1" fontId="0" fillId="0" borderId="2" xfId="0" applyNumberFormat="1" applyBorder="1" applyAlignment="1">
      <x:alignment vertical="center"/>
    </x:xf>
    <x:xf numFmtId="1" fontId="0" fillId="0" borderId="3" xfId="0" applyNumberFormat="1" applyBorder="1" applyAlignment="1">
      <x:alignment vertical="center"/>
    </x:xf>
    <x:xf numFmtId="1" fontId="0" fillId="6" borderId="1" xfId="0" applyNumberFormat="1" applyFill="1" applyBorder="1" applyAlignment="1">
      <x:alignment vertical="center"/>
    </x:xf>
    <x:xf numFmtId="1" fontId="0" fillId="6" borderId="2" xfId="0" applyNumberFormat="1" applyFill="1" applyBorder="1" applyAlignment="1">
      <x:alignment vertical="center"/>
    </x:xf>
    <x:xf numFmtId="1" fontId="0" fillId="6" borderId="3" xfId="0" applyNumberFormat="1" applyFill="1" applyBorder="1" applyAlignment="1">
      <x:alignment vertical="center"/>
    </x:xf>
    <x:xf numFmtId="1" fontId="0" fillId="0" borderId="1" xfId="0" applyNumberFormat="1" applyBorder="1"/>
    <x:xf numFmtId="1" fontId="0" fillId="0" borderId="2" xfId="0" applyNumberFormat="1" applyBorder="1"/>
    <x:xf numFmtId="1" fontId="0" fillId="0" borderId="3" xfId="0" applyNumberFormat="1" applyBorder="1"/>
    <x:xf numFmtId="164" fontId="0" fillId="0" borderId="0" xfId="0" applyNumberFormat="1"/>
    <x:xf numFmtId="165" fontId="0" fillId="0" borderId="0" xfId="0" applyNumberFormat="1"/>
    <x:xf numFmtId="165" fontId="0" fillId="0" borderId="1" xfId="0" applyNumberFormat="1" applyBorder="1"/>
    <x:xf numFmtId="165" fontId="0" fillId="0" borderId="2" xfId="0" applyNumberFormat="1" applyBorder="1"/>
    <x:xf numFmtId="165" fontId="0" fillId="0" borderId="3" xfId="0" applyNumberFormat="1" applyBorder="1"/>
    <x:xf numFmtId="0" fontId="2" fillId="7" borderId="0" xfId="0" applyFont="1" applyFill="1" applyAlignment="1">
      <x:alignment wrapText="1"/>
    </x:xf>
    <x:xf numFmtId="0" fontId="1" fillId="2" borderId="0" xfId="0" applyFont="1" applyFill="1" applyAlignment="1">
      <x:alignment vertical="center"/>
    </x:xf>
    <x:xf numFmtId="0" fontId="2" fillId="3" borderId="0" xfId="0" applyFont="1" applyFill="1"/>
    <x:xf numFmtId="0" fontId="2" fillId="3" borderId="2" xfId="0" applyFont="1" applyFill="1" applyBorder="1" applyAlignment="1">
      <x:alignment horizontal="center" wrapText="1"/>
    </x:xf>
    <x:xf numFmtId="0" fontId="2" fillId="3" borderId="2" xfId="0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center"/>
    </x:xf>
    <x:xf numFmtId="0" fontId="0" fillId="8" borderId="2" xfId="0" applyNumberFormat="1" applyFont="1" applyFill="1" applyBorder="1" applyAlignment="1">
      <x:alignment vertical="center"/>
    </x:xf>
    <x:xf numFmtId="0" fontId="0" fillId="8" borderId="3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 applyAlignment="1">
      <x:alignment vertical="center"/>
    </x:xf>
    <x:xf numFmtId="0" fontId="0" fillId="9" borderId="2" xfId="0" applyNumberFormat="1" applyFont="1" applyFill="1" applyBorder="1" applyAlignment="1">
      <x:alignment vertical="center"/>
    </x:xf>
    <x:xf numFmtId="0" fontId="0" fillId="9" borderId="3" xfId="0" applyNumberFormat="1" applyFont="1" applyFill="1" applyBorder="1" applyAlignment="1">
      <x:alignment vertical="center"/>
    </x:xf>
    <x:xf numFmtId="1" fontId="0" fillId="10" borderId="1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 applyAlignment="1">
      <x:alignment vertical="center"/>
    </x:xf>
    <x:xf numFmtId="1" fontId="0" fillId="10" borderId="2" xfId="0" applyNumberFormat="1" applyFont="1" applyFill="1" applyBorder="1" applyAlignment="1">
      <x:alignment vertical="center"/>
    </x:xf>
    <x:xf numFmtId="0" fontId="0" fillId="10" borderId="2" xfId="0" applyNumberFormat="1" applyFont="1" applyFill="1" applyBorder="1" applyAlignment="1">
      <x:alignment vertical="center"/>
    </x:xf>
    <x:xf numFmtId="1" fontId="0" fillId="10" borderId="3" xfId="0" applyNumberFormat="1" applyFont="1" applyFill="1" applyBorder="1" applyAlignment="1">
      <x:alignment vertical="center"/>
    </x:xf>
    <x:xf numFmtId="0" fontId="0" fillId="10" borderId="3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165" fontId="0" fillId="0" borderId="11" xfId="0" applyNumberFormat="1" applyFont="1" applyFill="1" applyBorder="1"/>
    <x:xf numFmtId="165" fontId="0" fillId="0" borderId="12" xfId="0" applyNumberFormat="1" applyFont="1" applyFill="1" applyBorder="1"/>
    <x:xf numFmtId="165" fontId="0" fillId="0" borderId="13" xfId="0" applyNumberFormat="1" applyFont="1" applyFill="1" applyBorder="1"/>
  </x:cellXfs>
  <x:cellStyles count="1">
    <x:cellStyle name="Normal" xfId="0"/>
  </x:cellStyles>
  <x:dxfs count="3"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fbb40dc954a1a" /><Relationship Type="http://schemas.openxmlformats.org/officeDocument/2006/relationships/theme" Target="/xl/theme/theme1.xml" Id="Rf348e9327bc14293" /><Relationship Type="http://schemas.openxmlformats.org/officeDocument/2006/relationships/sharedStrings" Target="/xl/sharedStrings.xml" Id="R28757145a9534795" /><Relationship Type="http://schemas.openxmlformats.org/officeDocument/2006/relationships/worksheet" Target="/xl/worksheets/sheet1.xml" Id="Rc85237f9c2e145df" /><Relationship Type="http://schemas.openxmlformats.org/officeDocument/2006/relationships/worksheet" Target="/xl/worksheets/sheet2.xml" Id="R74dd1706088a4cb1" /><Relationship Type="http://schemas.openxmlformats.org/officeDocument/2006/relationships/worksheet" Target="/xl/worksheets/sheet3.xml" Id="Rec7dfe5f25d54495" /><Relationship Type="http://schemas.openxmlformats.org/officeDocument/2006/relationships/worksheet" Target="/xl/worksheets/sheet4.xml" Id="R06b14f81e487436c" /><Relationship Type="http://schemas.openxmlformats.org/officeDocument/2006/relationships/worksheet" Target="/xl/worksheets/sheet5.xml" Id="Rf0c0bc78505a4389" /></Relationships>
</file>

<file path=xl/tables/table1.xml><?xml version="1.0" encoding="utf-8"?>
<x:table xmlns:x="http://schemas.openxmlformats.org/spreadsheetml/2006/main" id="4" name="VerifierTable" displayName="VerifierTable" ref="A1:T169" headerRowCount="1" totalsRowCount="0" totalsRowShown="0">
  <x:tableColumns count="20">
    <x:tableColumn id="1" name="sample_id"/>
    <x:tableColumn id="2" name="source_job"/>
    <x:tableColumn id="3" name="entry_name"/>
    <x:tableColumn id="4" name="pg_model"/>
    <x:tableColumn id="5" name="domain"/>
    <x:tableColumn id="6" name="title"/>
    <x:tableColumn id="7" name="item_key"/>
    <x:tableColumn id="8" name="prompt_seed"/>
    <x:tableColumn id="9" name="image_seed"/>
    <x:tableColumn id="10" name="image_reference"/>
    <x:tableColumn id="11" name="manual_strict_accept"/>
    <x:tableColumn id="12" name="text_category"/>
    <x:tableColumn id="13" name="notes"/>
    <x:tableColumn id="14" name="strict_verifier_accept"/>
    <x:tableColumn id="15" name="strict_agreement"/>
    <x:tableColumn id="16" name="strict_error_class"/>
    <x:tableColumn id="17" name="manual_title_aware_accept"/>
    <x:tableColumn id="18" name="title_aware_verifier_accept"/>
    <x:tableColumn id="19" name="title_aware_agreement"/>
    <x:tableColumn id="20" name="title_aware_error_cla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yleTable" displayName="StyleTable" ref="A1:M25" totalsRowShown="0">
  <x:tableColumns count="13">
    <x:tableColumn id="1" name="sample_id"/>
    <x:tableColumn id="2" name="source_job"/>
    <x:tableColumn id="3" name="entry_name"/>
    <x:tableColumn id="4" name="pg_model"/>
    <x:tableColumn id="5" name="domain"/>
    <x:tableColumn id="6" name="title"/>
    <x:tableColumn id="7" name="item_key"/>
    <x:tableColumn id="8" name="prompt_seed"/>
    <x:tableColumn id="9" name="image_seed"/>
    <x:tableColumn id="10" name="image_reference"/>
    <x:tableColumn id="11" name="style_adherent"/>
    <x:tableColumn id="12" name="manual_accept"/>
    <x:tableColumn id="1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icTable" displayName="ComicTable" ref="A1:M25" totalsRowShown="0">
  <x:tableColumns count="13">
    <x:tableColumn id="1" name="sample_id"/>
    <x:tableColumn id="2" name="source_job"/>
    <x:tableColumn id="3" name="entry_name"/>
    <x:tableColumn id="4" name="pg_model"/>
    <x:tableColumn id="5" name="domain"/>
    <x:tableColumn id="6" name="title"/>
    <x:tableColumn id="7" name="item_key"/>
    <x:tableColumn id="8" name="prompt_seed"/>
    <x:tableColumn id="9" name="image_seed"/>
    <x:tableColumn id="10" name="image_reference"/>
    <x:tableColumn id="11" name="style_adherent"/>
    <x:tableColumn id="12" name="manual_accept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3eaacea0364a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cb7f80ffdf4f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630de74a954a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6" customWidth="1"/>
    <x:col min="2" max="2" width="21" customWidth="1"/>
    <x:col min="3" max="3" width="58" customWidth="1"/>
    <x:col min="4" max="4" width="48" customWidth="1"/>
  </x:cols>
  <x:sheetData>
    <x:row r="1" ht="30" customHeight="1">
      <x:c r="A1" s="47" t="str">
        <x:v>Manual evaluation: two image verifiers and style checks</x:v>
      </x:c>
      <x:c r="B1" s="47"/>
      <x:c r="C1" s="47"/>
      <x:c r="D1" s="47"/>
    </x:row>
    <x:row r="2">
      <x:c r="A2"/>
      <x:c r="B2"/>
      <x:c r="C2"/>
      <x:c r="D2"/>
    </x:row>
    <x:row r="3">
      <x:c r="A3" s="48" t="str">
        <x:v>Phase 1 — manual labels (do not inspect either verifier decision)</x:v>
      </x:c>
      <x:c r="B3" s="48"/>
      <x:c r="C3" s="48"/>
      <x:c r="D3" s="48"/>
    </x:row>
    <x:row r="4" ht="32">
      <x:c r="A4" s="4" t="str">
        <x:v>1</x:v>
      </x:c>
      <x:c r="B4" s="1" t="str">
        <x:v>Verifier_168</x:v>
      </x:c>
      <x:c r="C4" s="1" t="str">
        <x:v>Open the image identified by job, entry, title, and seeds.</x:v>
      </x:c>
      <x:c r="D4" s="1" t="str">
        <x:v>Enter both manual labels before either stored decision.</x:v>
      </x:c>
    </x:row>
    <x:row r="5" ht="32">
      <x:c r="A5" s="5" t="str">
        <x:v>2</x:v>
      </x:c>
      <x:c r="B5" s="2" t="str">
        <x:v>Strict rule</x:v>
      </x:c>
      <x:c r="C5" s="2" t="str">
        <x:v>Fail any unambiguously readable, meaningful writing; pass pseudo, ambiguous, or illegible marks.</x:v>
      </x:c>
      <x:c r="D5" s="2" t="str">
        <x:v>Use prompts/verification/json_v3.txt.</x:v>
      </x:c>
    </x:row>
    <x:row r="6" ht="16">
      <x:c r="A6" s="5" t="str">
        <x:v>3</x:v>
      </x:c>
      <x:c r="B6" s="2" t="str">
        <x:v>Title-aware rule</x:v>
      </x:c>
      <x:c r="C6" s="2" t="str">
        <x:v>Fail only readable writing that communicates the reference title; unrelated writing is allowed.</x:v>
      </x:c>
      <x:c r="D6" s="2" t="str">
        <x:v>Use prompts/verification/title_aware_json_v1.txt.</x:v>
      </x:c>
    </x:row>
    <x:row r="7" ht="32">
      <x:c r="A7" s="5" t="str">
        <x:v>4</x:v>
      </x:c>
      <x:c r="B7" s="2" t="str">
        <x:v>Text categories</x:v>
      </x:c>
      <x:c r="C7" s="2" t="str">
        <x:v>none / ambiguous_or_pseudo / clear_meaningful</x:v>
      </x:c>
      <x:c r="D7" s="2" t="str">
        <x:v>Use notes only for genuinely unclear cases.</x:v>
      </x:c>
    </x:row>
    <x:row r="8" ht="32">
      <x:c r="A8" s="5" t="str">
        <x:v>5</x:v>
      </x:c>
      <x:c r="B8" s="2" t="str">
        <x:v>Style_24 (sketch)</x:v>
      </x:c>
      <x:c r="C8" s="2" t="str">
        <x:v>Judge sparse black-on-white freehand outline-sketch adherence separately.</x:v>
      </x:c>
      <x:c r="D8" s="2" t="str">
        <x:v>Style adherence is not title correctness.</x:v>
      </x:c>
    </x:row>
    <x:row r="9" ht="16">
      <x:c r="A9" s="5" t="str">
        <x:v>6</x:v>
      </x:c>
      <x:c r="B9" s="2" t="str">
        <x:v>Comic_24</x:v>
      </x:c>
      <x:c r="C9" s="2" t="str">
        <x:v>Judge broad comic/cartoon adherence and check for readable text or speech bubbles.</x:v>
      </x:c>
      <x:c r="D9" s="2" t="str">
        <x:v>Use the strict independent text rule.</x:v>
      </x:c>
    </x:row>
    <x:row r="10">
      <x:c r="A10" s="49" t="str">
        <x:v>Phase 2 — enter persisted image-verifier decisions</x:v>
      </x:c>
      <x:c r="B10" s="50"/>
      <x:c r="C10" s="50"/>
      <x:c r="D10" s="50"/>
    </x:row>
    <x:row r="11" ht="32">
      <x:c r="A11" s="5" t="str">
        <x:v>7</x:v>
      </x:c>
      <x:c r="B11" s="2" t="str">
        <x:v>strict_verifier_accept</x:v>
      </x:c>
      <x:c r="C11" s="2" t="str">
        <x:v>Enter yes, no, or invalid from the persisted strict result.</x:v>
      </x:c>
      <x:c r="D11" s="2" t="str">
        <x:v>Invalid includes missing, malformed, or truncated decisions.</x:v>
      </x:c>
    </x:row>
    <x:row r="12" ht="16">
      <x:c r="A12" s="5" t="str">
        <x:v>8</x:v>
      </x:c>
      <x:c r="B12" s="2" t="str">
        <x:v>title_aware_verifier_accept</x:v>
      </x:c>
      <x:c r="C12" s="2" t="str">
        <x:v>Enter yes, no, or invalid from the persisted title-aware result.</x:v>
      </x:c>
      <x:c r="D12" s="2" t="str">
        <x:v>Do not revise the earlier manual labels.</x:v>
      </x:c>
    </x:row>
    <x:row r="13" ht="16">
      <x:c r="A13" s="5" t="str">
        <x:v>9</x:v>
      </x:c>
      <x:c r="B13" s="2" t="str">
        <x:v>Derived fields</x:v>
      </x:c>
      <x:c r="C13" s="2" t="str">
        <x:v>Agreement and error-class columns are formulas for each policy.</x:v>
      </x:c>
      <x:c r="D13" s="2" t="str">
        <x:v>Invalid is counted wrong and reported separately.</x:v>
      </x:c>
    </x:row>
    <x:row r="14" ht="32">
      <x:c r="A14" s="6" t="str">
        <x:v>10</x:v>
      </x:c>
      <x:c r="B14" s="3" t="str">
        <x:v>Summary</x:v>
      </x:c>
      <x:c r="C14" s="3" t="str">
        <x:v>Review both policies separately.</x:v>
      </x:c>
      <x:c r="D14" s="3" t="str">
        <x:v>Do not tune either verifier using downstream Exact Match.</x:v>
      </x:c>
    </x:row>
    <x:row r="15">
      <x:c r="A15" t="str">
        <x:v>11</x:v>
      </x:c>
      <x:c r="B15" t="str">
        <x:v>Archive</x:v>
      </x:c>
      <x:c r="C15" t="str">
        <x:v>Archive the workbook, evaluated jobs, report files, and code revision.</x:v>
      </x:c>
      <x:c r="D15" t="str">
        <x:v>Do not overwrite this blank Git template with final labels.</x:v>
      </x:c>
    </x:row>
    <x:row r="16">
      <x:c r="A16" s="7" t="str">
        <x:v>Wilson z (95%)</x:v>
      </x:c>
      <x:c r="B16" s="8" t="n">
        <x:v>1.959963984540054</x:v>
      </x:c>
      <x:c r="C16"/>
      <x:c r="D16"/>
    </x:row>
    <x:row r="17">
      <x:c r="A17" s="9" t="str">
        <x:v>Verifier rows</x:v>
      </x:c>
      <x:c r="B17" s="10" t="n">
        <x:v>168</x:v>
      </x:c>
      <x:c r="C17"/>
      <x:c r="D17"/>
    </x:row>
  </x:sheetData>
  <x:mergeCells>
    <x:mergeCell ref="A1:D1"/>
    <x:mergeCell ref="A3:D3"/>
    <x:mergeCell ref="A10:D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1" customWidth="1"/>
    <x:col min="2" max="2" width="16" customWidth="1"/>
    <x:col min="3" max="3" width="37" customWidth="1"/>
    <x:col min="4" max="5" width="12" customWidth="1"/>
    <x:col min="6" max="6" width="22" customWidth="1"/>
    <x:col min="7" max="7" width="28" customWidth="1"/>
    <x:col min="8" max="9" width="13" customWidth="1"/>
    <x:col min="10" max="10" width="34" customWidth="1"/>
    <x:col min="11" max="11" width="15" customWidth="1"/>
    <x:col min="12" max="12" width="24" customWidth="1"/>
    <x:col min="13" max="13" width="32" customWidth="1"/>
    <x:col min="14" max="14" width="16" customWidth="1"/>
    <x:col min="15" max="15" width="12" customWidth="1"/>
    <x:col min="16" max="16" width="17" customWidth="1"/>
    <x:col min="17" max="17" width="24" hidden="0" customWidth="1"/>
    <x:col min="18" max="18" width="25" hidden="0" customWidth="1"/>
    <x:col min="19" max="19" width="20" hidden="0" customWidth="1"/>
    <x:col min="20" max="20" width="24" hidden="0" customWidth="1"/>
  </x:cols>
  <x:sheetData>
    <x:row r="1" ht="32" customHeight="1">
      <x:c r="A1" s="11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2" t="s">
        <x:v>7</x:v>
      </x:c>
      <x:c r="I1" s="12" t="s">
        <x:v>8</x:v>
      </x:c>
      <x:c r="J1" s="12" t="s">
        <x:v>9</x:v>
      </x:c>
      <x:c r="K1" s="12" t="str">
        <x:v>manual_strict_accept</x:v>
      </x:c>
      <x:c r="L1" s="12" t="str">
        <x:v>text_category</x:v>
      </x:c>
      <x:c r="M1" s="12" t="str">
        <x:v>notes</x:v>
      </x:c>
      <x:c r="N1" s="12" t="str">
        <x:v>strict_verifier_accept</x:v>
      </x:c>
      <x:c r="O1" s="12" t="str">
        <x:v>strict_agreement</x:v>
      </x:c>
      <x:c r="P1" s="13" t="str">
        <x:v>strict_error_class</x:v>
      </x:c>
      <x:c r="Q1" t="str">
        <x:v>manual_title_aware_accept</x:v>
      </x:c>
      <x:c r="R1" t="str">
        <x:v>title_aware_verifier_accept</x:v>
      </x:c>
      <x:c r="S1" t="str">
        <x:v>title_aware_agreement</x:v>
      </x:c>
      <x:c r="T1" t="str">
        <x:v>title_aware_error_class</x:v>
      </x:c>
    </x:row>
    <x:row r="2">
      <x:c r="A2" s="20" t="s">
        <x:v>10</x:v>
      </x:c>
      <x:c r="B2" s="20" t="s">
        <x:v>11</x:v>
      </x:c>
      <x:c r="C2" s="20" t="s">
        <x:v>12</x:v>
      </x:c>
      <x:c r="D2" s="20" t="s">
        <x:v>13</x:v>
      </x:c>
      <x:c r="E2" s="20" t="s">
        <x:v>14</x:v>
      </x:c>
      <x:c r="F2" s="20" t="s">
        <x:v>15</x:v>
      </x:c>
      <x:c r="G2" s="20" t="s">
        <x:v>16</x:v>
      </x:c>
      <x:c r="H2" s="32">
        <x:v>1000</x:v>
      </x:c>
      <x:c r="I2" s="32">
        <x:v>8566257</x:v>
      </x:c>
      <x:c r="J2" s="20"/>
      <x:c r="K2" s="51"/>
      <x:c r="L2" s="51"/>
      <x:c r="M2" s="51"/>
      <x:c r="N2" s="54"/>
      <x:c r="O2" s="57" t="str">
        <x:f t="shared" ref="O2:O33" si="0">IF(OR(K2="",N2=""),"",IF(N2="invalid",0,--(K2=N2)))</x:f>
      </x:c>
      <x:c r="P2" s="58" t="str">
        <x:f t="shared" ref="P2:P33" si="1">IF(OR(K2="",N2=""),"",IF(N2="invalid","invalid",IF(K2=N2,"agreement",IF(AND(K2="no",N2="yes"),"false_accept","false_reject"))))</x:f>
      </x:c>
      <x:c r="Q2" s="63"/>
      <x:c r="R2" s="64"/>
      <x:c r="S2" s="65" t="str">
        <x:f>IF(OR(Q2="",R2=""),"",IF(R2="invalid",0,--(Q2=R2)))</x:f>
      </x:c>
      <x:c r="T2" s="65" t="str">
        <x:f>IF(OR(Q2="",R2=""),"",IF(R2="invalid","invalid",IF(Q2=R2,"agreement",IF(AND(Q2="no",R2="yes"),"false_accept","false_reject"))))</x:f>
      </x:c>
    </x:row>
    <x:row r="3">
      <x:c r="A3" s="24" t="s">
        <x:v>17</x:v>
      </x:c>
      <x:c r="B3" s="24" t="s">
        <x:v>11</x:v>
      </x:c>
      <x:c r="C3" s="24" t="s">
        <x:v>12</x:v>
      </x:c>
      <x:c r="D3" s="24" t="s">
        <x:v>13</x:v>
      </x:c>
      <x:c r="E3" s="24" t="s">
        <x:v>14</x:v>
      </x:c>
      <x:c r="F3" s="24" t="s">
        <x:v>15</x:v>
      </x:c>
      <x:c r="G3" s="24" t="s">
        <x:v>16</x:v>
      </x:c>
      <x:c r="H3" s="33">
        <x:v>1000</x:v>
      </x:c>
      <x:c r="I3" s="33">
        <x:v>2875613</x:v>
      </x:c>
      <x:c r="J3" s="24"/>
      <x:c r="K3" s="52"/>
      <x:c r="L3" s="52"/>
      <x:c r="M3" s="52"/>
      <x:c r="N3" s="55"/>
      <x:c r="O3" s="59" t="str">
        <x:f t="shared" si="0"/>
      </x:c>
      <x:c r="P3" s="60" t="str">
        <x:f t="shared" si="1"/>
      </x:c>
      <x:c r="Q3" s="63"/>
      <x:c r="R3" s="64"/>
      <x:c r="S3" s="65" t="str">
        <x:f>IF(OR(Q3="",R3=""),"",IF(R3="invalid",0,--(Q3=R3)))</x:f>
      </x:c>
      <x:c r="T3" s="65" t="str">
        <x:f>IF(OR(Q3="",R3=""),"",IF(R3="invalid","invalid",IF(Q3=R3,"agreement",IF(AND(Q3="no",R3="yes"),"false_accept","false_reject"))))</x:f>
      </x:c>
    </x:row>
    <x:row r="4">
      <x:c r="A4" s="24" t="s">
        <x:v>18</x:v>
      </x:c>
      <x:c r="B4" s="24" t="s">
        <x:v>11</x:v>
      </x:c>
      <x:c r="C4" s="24" t="s">
        <x:v>12</x:v>
      </x:c>
      <x:c r="D4" s="24" t="s">
        <x:v>13</x:v>
      </x:c>
      <x:c r="E4" s="24" t="s">
        <x:v>14</x:v>
      </x:c>
      <x:c r="F4" s="24" t="s">
        <x:v>15</x:v>
      </x:c>
      <x:c r="G4" s="24" t="s">
        <x:v>16</x:v>
      </x:c>
      <x:c r="H4" s="33">
        <x:v>1001</x:v>
      </x:c>
      <x:c r="I4" s="33">
        <x:v>8566257</x:v>
      </x:c>
      <x:c r="J4" s="24"/>
      <x:c r="K4" s="52"/>
      <x:c r="L4" s="52"/>
      <x:c r="M4" s="52"/>
      <x:c r="N4" s="55"/>
      <x:c r="O4" s="59" t="str">
        <x:f t="shared" si="0"/>
      </x:c>
      <x:c r="P4" s="60" t="str">
        <x:f t="shared" si="1"/>
      </x:c>
      <x:c r="Q4" s="63"/>
      <x:c r="R4" s="64"/>
      <x:c r="S4" s="65" t="str">
        <x:f>IF(OR(Q4="",R4=""),"",IF(R4="invalid",0,--(Q4=R4)))</x:f>
      </x:c>
      <x:c r="T4" s="65" t="str">
        <x:f>IF(OR(Q4="",R4=""),"",IF(R4="invalid","invalid",IF(Q4=R4,"agreement",IF(AND(Q4="no",R4="yes"),"false_accept","false_reject"))))</x:f>
      </x:c>
    </x:row>
    <x:row r="5">
      <x:c r="A5" s="24" t="s">
        <x:v>19</x:v>
      </x:c>
      <x:c r="B5" s="24" t="s">
        <x:v>11</x:v>
      </x:c>
      <x:c r="C5" s="24" t="s">
        <x:v>12</x:v>
      </x:c>
      <x:c r="D5" s="24" t="s">
        <x:v>13</x:v>
      </x:c>
      <x:c r="E5" s="24" t="s">
        <x:v>14</x:v>
      </x:c>
      <x:c r="F5" s="24" t="s">
        <x:v>15</x:v>
      </x:c>
      <x:c r="G5" s="24" t="s">
        <x:v>16</x:v>
      </x:c>
      <x:c r="H5" s="33">
        <x:v>1001</x:v>
      </x:c>
      <x:c r="I5" s="33">
        <x:v>2875613</x:v>
      </x:c>
      <x:c r="J5" s="24"/>
      <x:c r="K5" s="52"/>
      <x:c r="L5" s="52"/>
      <x:c r="M5" s="52"/>
      <x:c r="N5" s="55"/>
      <x:c r="O5" s="59" t="str">
        <x:f t="shared" si="0"/>
      </x:c>
      <x:c r="P5" s="60" t="str">
        <x:f t="shared" si="1"/>
      </x:c>
      <x:c r="Q5" s="63"/>
      <x:c r="R5" s="64"/>
      <x:c r="S5" s="65" t="str">
        <x:f>IF(OR(Q5="",R5=""),"",IF(R5="invalid",0,--(Q5=R5)))</x:f>
      </x:c>
      <x:c r="T5" s="65" t="str">
        <x:f>IF(OR(Q5="",R5=""),"",IF(R5="invalid","invalid",IF(Q5=R5,"agreement",IF(AND(Q5="no",R5="yes"),"false_accept","false_reject"))))</x:f>
      </x:c>
    </x:row>
    <x:row r="6">
      <x:c r="A6" s="24" t="s">
        <x:v>20</x:v>
      </x:c>
      <x:c r="B6" s="24" t="s">
        <x:v>11</x:v>
      </x:c>
      <x:c r="C6" s="24" t="s">
        <x:v>12</x:v>
      </x:c>
      <x:c r="D6" s="24" t="s">
        <x:v>13</x:v>
      </x:c>
      <x:c r="E6" s="24" t="s">
        <x:v>14</x:v>
      </x:c>
      <x:c r="F6" s="24" t="s">
        <x:v>21</x:v>
      </x:c>
      <x:c r="G6" s="24" t="s">
        <x:v>22</x:v>
      </x:c>
      <x:c r="H6" s="33">
        <x:v>1000</x:v>
      </x:c>
      <x:c r="I6" s="33">
        <x:v>8566257</x:v>
      </x:c>
      <x:c r="J6" s="24"/>
      <x:c r="K6" s="52"/>
      <x:c r="L6" s="52"/>
      <x:c r="M6" s="52"/>
      <x:c r="N6" s="55"/>
      <x:c r="O6" s="59" t="str">
        <x:f t="shared" si="0"/>
      </x:c>
      <x:c r="P6" s="60" t="str">
        <x:f t="shared" si="1"/>
      </x:c>
      <x:c r="Q6" s="63"/>
      <x:c r="R6" s="64"/>
      <x:c r="S6" s="65" t="str">
        <x:f>IF(OR(Q6="",R6=""),"",IF(R6="invalid",0,--(Q6=R6)))</x:f>
      </x:c>
      <x:c r="T6" s="65" t="str">
        <x:f>IF(OR(Q6="",R6=""),"",IF(R6="invalid","invalid",IF(Q6=R6,"agreement",IF(AND(Q6="no",R6="yes"),"false_accept","false_reject"))))</x:f>
      </x:c>
    </x:row>
    <x:row r="7">
      <x:c r="A7" s="24" t="s">
        <x:v>23</x:v>
      </x:c>
      <x:c r="B7" s="24" t="s">
        <x:v>11</x:v>
      </x:c>
      <x:c r="C7" s="24" t="s">
        <x:v>12</x:v>
      </x:c>
      <x:c r="D7" s="24" t="s">
        <x:v>13</x:v>
      </x:c>
      <x:c r="E7" s="24" t="s">
        <x:v>14</x:v>
      </x:c>
      <x:c r="F7" s="24" t="s">
        <x:v>21</x:v>
      </x:c>
      <x:c r="G7" s="24" t="s">
        <x:v>22</x:v>
      </x:c>
      <x:c r="H7" s="33">
        <x:v>1000</x:v>
      </x:c>
      <x:c r="I7" s="33">
        <x:v>2875613</x:v>
      </x:c>
      <x:c r="J7" s="24"/>
      <x:c r="K7" s="52"/>
      <x:c r="L7" s="52"/>
      <x:c r="M7" s="52"/>
      <x:c r="N7" s="55"/>
      <x:c r="O7" s="59" t="str">
        <x:f t="shared" si="0"/>
      </x:c>
      <x:c r="P7" s="60" t="str">
        <x:f t="shared" si="1"/>
      </x:c>
      <x:c r="Q7" s="63"/>
      <x:c r="R7" s="64"/>
      <x:c r="S7" s="65" t="str">
        <x:f>IF(OR(Q7="",R7=""),"",IF(R7="invalid",0,--(Q7=R7)))</x:f>
      </x:c>
      <x:c r="T7" s="65" t="str">
        <x:f>IF(OR(Q7="",R7=""),"",IF(R7="invalid","invalid",IF(Q7=R7,"agreement",IF(AND(Q7="no",R7="yes"),"false_accept","false_reject"))))</x:f>
      </x:c>
    </x:row>
    <x:row r="8">
      <x:c r="A8" s="24" t="s">
        <x:v>24</x:v>
      </x:c>
      <x:c r="B8" s="24" t="s">
        <x:v>11</x:v>
      </x:c>
      <x:c r="C8" s="24" t="s">
        <x:v>12</x:v>
      </x:c>
      <x:c r="D8" s="24" t="s">
        <x:v>13</x:v>
      </x:c>
      <x:c r="E8" s="24" t="s">
        <x:v>14</x:v>
      </x:c>
      <x:c r="F8" s="24" t="s">
        <x:v>21</x:v>
      </x:c>
      <x:c r="G8" s="24" t="s">
        <x:v>22</x:v>
      </x:c>
      <x:c r="H8" s="33">
        <x:v>1001</x:v>
      </x:c>
      <x:c r="I8" s="33">
        <x:v>8566257</x:v>
      </x:c>
      <x:c r="J8" s="24"/>
      <x:c r="K8" s="52"/>
      <x:c r="L8" s="52"/>
      <x:c r="M8" s="52"/>
      <x:c r="N8" s="55"/>
      <x:c r="O8" s="59" t="str">
        <x:f t="shared" si="0"/>
      </x:c>
      <x:c r="P8" s="60" t="str">
        <x:f t="shared" si="1"/>
      </x:c>
      <x:c r="Q8" s="63"/>
      <x:c r="R8" s="64"/>
      <x:c r="S8" s="65" t="str">
        <x:f>IF(OR(Q8="",R8=""),"",IF(R8="invalid",0,--(Q8=R8)))</x:f>
      </x:c>
      <x:c r="T8" s="65" t="str">
        <x:f>IF(OR(Q8="",R8=""),"",IF(R8="invalid","invalid",IF(Q8=R8,"agreement",IF(AND(Q8="no",R8="yes"),"false_accept","false_reject"))))</x:f>
      </x:c>
    </x:row>
    <x:row r="9">
      <x:c r="A9" s="24" t="s">
        <x:v>25</x:v>
      </x:c>
      <x:c r="B9" s="24" t="s">
        <x:v>11</x:v>
      </x:c>
      <x:c r="C9" s="24" t="s">
        <x:v>12</x:v>
      </x:c>
      <x:c r="D9" s="24" t="s">
        <x:v>13</x:v>
      </x:c>
      <x:c r="E9" s="24" t="s">
        <x:v>14</x:v>
      </x:c>
      <x:c r="F9" s="24" t="s">
        <x:v>21</x:v>
      </x:c>
      <x:c r="G9" s="24" t="s">
        <x:v>22</x:v>
      </x:c>
      <x:c r="H9" s="33">
        <x:v>1001</x:v>
      </x:c>
      <x:c r="I9" s="33">
        <x:v>2875613</x:v>
      </x:c>
      <x:c r="J9" s="24"/>
      <x:c r="K9" s="52"/>
      <x:c r="L9" s="52"/>
      <x:c r="M9" s="52"/>
      <x:c r="N9" s="55"/>
      <x:c r="O9" s="59" t="str">
        <x:f t="shared" si="0"/>
      </x:c>
      <x:c r="P9" s="60" t="str">
        <x:f t="shared" si="1"/>
      </x:c>
      <x:c r="Q9" s="63"/>
      <x:c r="R9" s="64"/>
      <x:c r="S9" s="65" t="str">
        <x:f>IF(OR(Q9="",R9=""),"",IF(R9="invalid",0,--(Q9=R9)))</x:f>
      </x:c>
      <x:c r="T9" s="65" t="str">
        <x:f>IF(OR(Q9="",R9=""),"",IF(R9="invalid","invalid",IF(Q9=R9,"agreement",IF(AND(Q9="no",R9="yes"),"false_accept","false_reject"))))</x:f>
      </x:c>
    </x:row>
    <x:row r="10">
      <x:c r="A10" s="24" t="s">
        <x:v>26</x:v>
      </x:c>
      <x:c r="B10" s="24" t="s">
        <x:v>11</x:v>
      </x:c>
      <x:c r="C10" s="24" t="s">
        <x:v>12</x:v>
      </x:c>
      <x:c r="D10" s="24" t="s">
        <x:v>13</x:v>
      </x:c>
      <x:c r="E10" s="24" t="s">
        <x:v>27</x:v>
      </x:c>
      <x:c r="F10" s="24" t="s">
        <x:v>28</x:v>
      </x:c>
      <x:c r="G10" s="24" t="s">
        <x:v>29</x:v>
      </x:c>
      <x:c r="H10" s="33">
        <x:v>1000</x:v>
      </x:c>
      <x:c r="I10" s="33">
        <x:v>8566257</x:v>
      </x:c>
      <x:c r="J10" s="24"/>
      <x:c r="K10" s="52"/>
      <x:c r="L10" s="52"/>
      <x:c r="M10" s="52"/>
      <x:c r="N10" s="55"/>
      <x:c r="O10" s="59" t="str">
        <x:f t="shared" si="0"/>
      </x:c>
      <x:c r="P10" s="60" t="str">
        <x:f t="shared" si="1"/>
      </x:c>
      <x:c r="Q10" s="63"/>
      <x:c r="R10" s="64"/>
      <x:c r="S10" s="65" t="str">
        <x:f>IF(OR(Q10="",R10=""),"",IF(R10="invalid",0,--(Q10=R10)))</x:f>
      </x:c>
      <x:c r="T10" s="65" t="str">
        <x:f>IF(OR(Q10="",R10=""),"",IF(R10="invalid","invalid",IF(Q10=R10,"agreement",IF(AND(Q10="no",R10="yes"),"false_accept","false_reject"))))</x:f>
      </x:c>
    </x:row>
    <x:row r="11">
      <x:c r="A11" s="24" t="s">
        <x:v>30</x:v>
      </x:c>
      <x:c r="B11" s="24" t="s">
        <x:v>11</x:v>
      </x:c>
      <x:c r="C11" s="24" t="s">
        <x:v>12</x:v>
      </x:c>
      <x:c r="D11" s="24" t="s">
        <x:v>13</x:v>
      </x:c>
      <x:c r="E11" s="24" t="s">
        <x:v>27</x:v>
      </x:c>
      <x:c r="F11" s="24" t="s">
        <x:v>28</x:v>
      </x:c>
      <x:c r="G11" s="24" t="s">
        <x:v>29</x:v>
      </x:c>
      <x:c r="H11" s="33">
        <x:v>1000</x:v>
      </x:c>
      <x:c r="I11" s="33">
        <x:v>2875613</x:v>
      </x:c>
      <x:c r="J11" s="24"/>
      <x:c r="K11" s="52"/>
      <x:c r="L11" s="52"/>
      <x:c r="M11" s="52"/>
      <x:c r="N11" s="55"/>
      <x:c r="O11" s="59" t="str">
        <x:f t="shared" si="0"/>
      </x:c>
      <x:c r="P11" s="60" t="str">
        <x:f t="shared" si="1"/>
      </x:c>
      <x:c r="Q11" s="63"/>
      <x:c r="R11" s="64"/>
      <x:c r="S11" s="65" t="str">
        <x:f>IF(OR(Q11="",R11=""),"",IF(R11="invalid",0,--(Q11=R11)))</x:f>
      </x:c>
      <x:c r="T11" s="65" t="str">
        <x:f>IF(OR(Q11="",R11=""),"",IF(R11="invalid","invalid",IF(Q11=R11,"agreement",IF(AND(Q11="no",R11="yes"),"false_accept","false_reject"))))</x:f>
      </x:c>
    </x:row>
    <x:row r="12">
      <x:c r="A12" s="24" t="s">
        <x:v>31</x:v>
      </x:c>
      <x:c r="B12" s="24" t="s">
        <x:v>11</x:v>
      </x:c>
      <x:c r="C12" s="24" t="s">
        <x:v>12</x:v>
      </x:c>
      <x:c r="D12" s="24" t="s">
        <x:v>13</x:v>
      </x:c>
      <x:c r="E12" s="24" t="s">
        <x:v>27</x:v>
      </x:c>
      <x:c r="F12" s="24" t="s">
        <x:v>28</x:v>
      </x:c>
      <x:c r="G12" s="24" t="s">
        <x:v>29</x:v>
      </x:c>
      <x:c r="H12" s="33">
        <x:v>1001</x:v>
      </x:c>
      <x:c r="I12" s="33">
        <x:v>8566257</x:v>
      </x:c>
      <x:c r="J12" s="24"/>
      <x:c r="K12" s="52"/>
      <x:c r="L12" s="52"/>
      <x:c r="M12" s="52"/>
      <x:c r="N12" s="55"/>
      <x:c r="O12" s="59" t="str">
        <x:f t="shared" si="0"/>
      </x:c>
      <x:c r="P12" s="60" t="str">
        <x:f t="shared" si="1"/>
      </x:c>
      <x:c r="Q12" s="63"/>
      <x:c r="R12" s="64"/>
      <x:c r="S12" s="65" t="str">
        <x:f>IF(OR(Q12="",R12=""),"",IF(R12="invalid",0,--(Q12=R12)))</x:f>
      </x:c>
      <x:c r="T12" s="65" t="str">
        <x:f>IF(OR(Q12="",R12=""),"",IF(R12="invalid","invalid",IF(Q12=R12,"agreement",IF(AND(Q12="no",R12="yes"),"false_accept","false_reject"))))</x:f>
      </x:c>
    </x:row>
    <x:row r="13">
      <x:c r="A13" s="24" t="s">
        <x:v>32</x:v>
      </x:c>
      <x:c r="B13" s="24" t="s">
        <x:v>11</x:v>
      </x:c>
      <x:c r="C13" s="24" t="s">
        <x:v>12</x:v>
      </x:c>
      <x:c r="D13" s="24" t="s">
        <x:v>13</x:v>
      </x:c>
      <x:c r="E13" s="24" t="s">
        <x:v>27</x:v>
      </x:c>
      <x:c r="F13" s="24" t="s">
        <x:v>28</x:v>
      </x:c>
      <x:c r="G13" s="24" t="s">
        <x:v>29</x:v>
      </x:c>
      <x:c r="H13" s="33">
        <x:v>1001</x:v>
      </x:c>
      <x:c r="I13" s="33">
        <x:v>2875613</x:v>
      </x:c>
      <x:c r="J13" s="24"/>
      <x:c r="K13" s="52"/>
      <x:c r="L13" s="52"/>
      <x:c r="M13" s="52"/>
      <x:c r="N13" s="55"/>
      <x:c r="O13" s="59" t="str">
        <x:f t="shared" si="0"/>
      </x:c>
      <x:c r="P13" s="60" t="str">
        <x:f t="shared" si="1"/>
      </x:c>
      <x:c r="Q13" s="63"/>
      <x:c r="R13" s="64"/>
      <x:c r="S13" s="65" t="str">
        <x:f>IF(OR(Q13="",R13=""),"",IF(R13="invalid",0,--(Q13=R13)))</x:f>
      </x:c>
      <x:c r="T13" s="65" t="str">
        <x:f>IF(OR(Q13="",R13=""),"",IF(R13="invalid","invalid",IF(Q13=R13,"agreement",IF(AND(Q13="no",R13="yes"),"false_accept","false_reject"))))</x:f>
      </x:c>
    </x:row>
    <x:row r="14">
      <x:c r="A14" s="24" t="s">
        <x:v>33</x:v>
      </x:c>
      <x:c r="B14" s="24" t="s">
        <x:v>11</x:v>
      </x:c>
      <x:c r="C14" s="24" t="s">
        <x:v>12</x:v>
      </x:c>
      <x:c r="D14" s="24" t="s">
        <x:v>13</x:v>
      </x:c>
      <x:c r="E14" s="24" t="s">
        <x:v>27</x:v>
      </x:c>
      <x:c r="F14" s="24" t="s">
        <x:v>34</x:v>
      </x:c>
      <x:c r="G14" s="24" t="s">
        <x:v>35</x:v>
      </x:c>
      <x:c r="H14" s="33">
        <x:v>1000</x:v>
      </x:c>
      <x:c r="I14" s="33">
        <x:v>8566257</x:v>
      </x:c>
      <x:c r="J14" s="24"/>
      <x:c r="K14" s="52"/>
      <x:c r="L14" s="52"/>
      <x:c r="M14" s="52"/>
      <x:c r="N14" s="55"/>
      <x:c r="O14" s="59" t="str">
        <x:f t="shared" si="0"/>
      </x:c>
      <x:c r="P14" s="60" t="str">
        <x:f t="shared" si="1"/>
      </x:c>
      <x:c r="Q14" s="63"/>
      <x:c r="R14" s="64"/>
      <x:c r="S14" s="65" t="str">
        <x:f>IF(OR(Q14="",R14=""),"",IF(R14="invalid",0,--(Q14=R14)))</x:f>
      </x:c>
      <x:c r="T14" s="65" t="str">
        <x:f>IF(OR(Q14="",R14=""),"",IF(R14="invalid","invalid",IF(Q14=R14,"agreement",IF(AND(Q14="no",R14="yes"),"false_accept","false_reject"))))</x:f>
      </x:c>
    </x:row>
    <x:row r="15">
      <x:c r="A15" s="24" t="s">
        <x:v>36</x:v>
      </x:c>
      <x:c r="B15" s="24" t="s">
        <x:v>11</x:v>
      </x:c>
      <x:c r="C15" s="24" t="s">
        <x:v>12</x:v>
      </x:c>
      <x:c r="D15" s="24" t="s">
        <x:v>13</x:v>
      </x:c>
      <x:c r="E15" s="24" t="s">
        <x:v>27</x:v>
      </x:c>
      <x:c r="F15" s="24" t="s">
        <x:v>34</x:v>
      </x:c>
      <x:c r="G15" s="24" t="s">
        <x:v>35</x:v>
      </x:c>
      <x:c r="H15" s="33">
        <x:v>1000</x:v>
      </x:c>
      <x:c r="I15" s="33">
        <x:v>2875613</x:v>
      </x:c>
      <x:c r="J15" s="24"/>
      <x:c r="K15" s="52"/>
      <x:c r="L15" s="52"/>
      <x:c r="M15" s="52"/>
      <x:c r="N15" s="55"/>
      <x:c r="O15" s="59" t="str">
        <x:f t="shared" si="0"/>
      </x:c>
      <x:c r="P15" s="60" t="str">
        <x:f t="shared" si="1"/>
      </x:c>
      <x:c r="Q15" s="63"/>
      <x:c r="R15" s="64"/>
      <x:c r="S15" s="65" t="str">
        <x:f>IF(OR(Q15="",R15=""),"",IF(R15="invalid",0,--(Q15=R15)))</x:f>
      </x:c>
      <x:c r="T15" s="65" t="str">
        <x:f>IF(OR(Q15="",R15=""),"",IF(R15="invalid","invalid",IF(Q15=R15,"agreement",IF(AND(Q15="no",R15="yes"),"false_accept","false_reject"))))</x:f>
      </x:c>
    </x:row>
    <x:row r="16">
      <x:c r="A16" s="24" t="s">
        <x:v>37</x:v>
      </x:c>
      <x:c r="B16" s="24" t="s">
        <x:v>11</x:v>
      </x:c>
      <x:c r="C16" s="24" t="s">
        <x:v>12</x:v>
      </x:c>
      <x:c r="D16" s="24" t="s">
        <x:v>13</x:v>
      </x:c>
      <x:c r="E16" s="24" t="s">
        <x:v>27</x:v>
      </x:c>
      <x:c r="F16" s="24" t="s">
        <x:v>34</x:v>
      </x:c>
      <x:c r="G16" s="24" t="s">
        <x:v>35</x:v>
      </x:c>
      <x:c r="H16" s="33">
        <x:v>1001</x:v>
      </x:c>
      <x:c r="I16" s="33">
        <x:v>8566257</x:v>
      </x:c>
      <x:c r="J16" s="24"/>
      <x:c r="K16" s="52"/>
      <x:c r="L16" s="52"/>
      <x:c r="M16" s="52"/>
      <x:c r="N16" s="55"/>
      <x:c r="O16" s="59" t="str">
        <x:f t="shared" si="0"/>
      </x:c>
      <x:c r="P16" s="60" t="str">
        <x:f t="shared" si="1"/>
      </x:c>
      <x:c r="Q16" s="63"/>
      <x:c r="R16" s="64"/>
      <x:c r="S16" s="65" t="str">
        <x:f>IF(OR(Q16="",R16=""),"",IF(R16="invalid",0,--(Q16=R16)))</x:f>
      </x:c>
      <x:c r="T16" s="65" t="str">
        <x:f>IF(OR(Q16="",R16=""),"",IF(R16="invalid","invalid",IF(Q16=R16,"agreement",IF(AND(Q16="no",R16="yes"),"false_accept","false_reject"))))</x:f>
      </x:c>
    </x:row>
    <x:row r="17">
      <x:c r="A17" s="24" t="s">
        <x:v>38</x:v>
      </x:c>
      <x:c r="B17" s="24" t="s">
        <x:v>11</x:v>
      </x:c>
      <x:c r="C17" s="24" t="s">
        <x:v>12</x:v>
      </x:c>
      <x:c r="D17" s="24" t="s">
        <x:v>13</x:v>
      </x:c>
      <x:c r="E17" s="24" t="s">
        <x:v>27</x:v>
      </x:c>
      <x:c r="F17" s="24" t="s">
        <x:v>34</x:v>
      </x:c>
      <x:c r="G17" s="24" t="s">
        <x:v>35</x:v>
      </x:c>
      <x:c r="H17" s="33">
        <x:v>1001</x:v>
      </x:c>
      <x:c r="I17" s="33">
        <x:v>2875613</x:v>
      </x:c>
      <x:c r="J17" s="24"/>
      <x:c r="K17" s="52"/>
      <x:c r="L17" s="52"/>
      <x:c r="M17" s="52"/>
      <x:c r="N17" s="55"/>
      <x:c r="O17" s="59" t="str">
        <x:f t="shared" si="0"/>
      </x:c>
      <x:c r="P17" s="60" t="str">
        <x:f t="shared" si="1"/>
      </x:c>
      <x:c r="Q17" s="63"/>
      <x:c r="R17" s="64"/>
      <x:c r="S17" s="65" t="str">
        <x:f>IF(OR(Q17="",R17=""),"",IF(R17="invalid",0,--(Q17=R17)))</x:f>
      </x:c>
      <x:c r="T17" s="65" t="str">
        <x:f>IF(OR(Q17="",R17=""),"",IF(R17="invalid","invalid",IF(Q17=R17,"agreement",IF(AND(Q17="no",R17="yes"),"false_accept","false_reject"))))</x:f>
      </x:c>
    </x:row>
    <x:row r="18">
      <x:c r="A18" s="24" t="s">
        <x:v>39</x:v>
      </x:c>
      <x:c r="B18" s="24" t="s">
        <x:v>11</x:v>
      </x:c>
      <x:c r="C18" s="24" t="s">
        <x:v>12</x:v>
      </x:c>
      <x:c r="D18" s="24" t="s">
        <x:v>13</x:v>
      </x:c>
      <x:c r="E18" s="24" t="s">
        <x:v>40</x:v>
      </x:c>
      <x:c r="F18" s="24" t="s">
        <x:v>41</x:v>
      </x:c>
      <x:c r="G18" s="24" t="s">
        <x:v>42</x:v>
      </x:c>
      <x:c r="H18" s="33">
        <x:v>1000</x:v>
      </x:c>
      <x:c r="I18" s="33">
        <x:v>8566257</x:v>
      </x:c>
      <x:c r="J18" s="24"/>
      <x:c r="K18" s="52"/>
      <x:c r="L18" s="52"/>
      <x:c r="M18" s="52"/>
      <x:c r="N18" s="55"/>
      <x:c r="O18" s="59" t="str">
        <x:f t="shared" si="0"/>
      </x:c>
      <x:c r="P18" s="60" t="str">
        <x:f t="shared" si="1"/>
      </x:c>
      <x:c r="Q18" s="63"/>
      <x:c r="R18" s="64"/>
      <x:c r="S18" s="65" t="str">
        <x:f>IF(OR(Q18="",R18=""),"",IF(R18="invalid",0,--(Q18=R18)))</x:f>
      </x:c>
      <x:c r="T18" s="65" t="str">
        <x:f>IF(OR(Q18="",R18=""),"",IF(R18="invalid","invalid",IF(Q18=R18,"agreement",IF(AND(Q18="no",R18="yes"),"false_accept","false_reject"))))</x:f>
      </x:c>
    </x:row>
    <x:row r="19">
      <x:c r="A19" s="24" t="s">
        <x:v>43</x:v>
      </x:c>
      <x:c r="B19" s="24" t="s">
        <x:v>11</x:v>
      </x:c>
      <x:c r="C19" s="24" t="s">
        <x:v>12</x:v>
      </x:c>
      <x:c r="D19" s="24" t="s">
        <x:v>13</x:v>
      </x:c>
      <x:c r="E19" s="24" t="s">
        <x:v>40</x:v>
      </x:c>
      <x:c r="F19" s="24" t="s">
        <x:v>41</x:v>
      </x:c>
      <x:c r="G19" s="24" t="s">
        <x:v>42</x:v>
      </x:c>
      <x:c r="H19" s="33">
        <x:v>1000</x:v>
      </x:c>
      <x:c r="I19" s="33">
        <x:v>2875613</x:v>
      </x:c>
      <x:c r="J19" s="24"/>
      <x:c r="K19" s="52"/>
      <x:c r="L19" s="52"/>
      <x:c r="M19" s="52"/>
      <x:c r="N19" s="55"/>
      <x:c r="O19" s="59" t="str">
        <x:f t="shared" si="0"/>
      </x:c>
      <x:c r="P19" s="60" t="str">
        <x:f t="shared" si="1"/>
      </x:c>
      <x:c r="Q19" s="63"/>
      <x:c r="R19" s="64"/>
      <x:c r="S19" s="65" t="str">
        <x:f>IF(OR(Q19="",R19=""),"",IF(R19="invalid",0,--(Q19=R19)))</x:f>
      </x:c>
      <x:c r="T19" s="65" t="str">
        <x:f>IF(OR(Q19="",R19=""),"",IF(R19="invalid","invalid",IF(Q19=R19,"agreement",IF(AND(Q19="no",R19="yes"),"false_accept","false_reject"))))</x:f>
      </x:c>
    </x:row>
    <x:row r="20">
      <x:c r="A20" s="24" t="s">
        <x:v>44</x:v>
      </x:c>
      <x:c r="B20" s="24" t="s">
        <x:v>11</x:v>
      </x:c>
      <x:c r="C20" s="24" t="s">
        <x:v>12</x:v>
      </x:c>
      <x:c r="D20" s="24" t="s">
        <x:v>13</x:v>
      </x:c>
      <x:c r="E20" s="24" t="s">
        <x:v>40</x:v>
      </x:c>
      <x:c r="F20" s="24" t="s">
        <x:v>41</x:v>
      </x:c>
      <x:c r="G20" s="24" t="s">
        <x:v>42</x:v>
      </x:c>
      <x:c r="H20" s="33">
        <x:v>1001</x:v>
      </x:c>
      <x:c r="I20" s="33">
        <x:v>8566257</x:v>
      </x:c>
      <x:c r="J20" s="24"/>
      <x:c r="K20" s="52"/>
      <x:c r="L20" s="52"/>
      <x:c r="M20" s="52"/>
      <x:c r="N20" s="55"/>
      <x:c r="O20" s="59" t="str">
        <x:f t="shared" si="0"/>
      </x:c>
      <x:c r="P20" s="60" t="str">
        <x:f t="shared" si="1"/>
      </x:c>
      <x:c r="Q20" s="63"/>
      <x:c r="R20" s="64"/>
      <x:c r="S20" s="65" t="str">
        <x:f>IF(OR(Q20="",R20=""),"",IF(R20="invalid",0,--(Q20=R20)))</x:f>
      </x:c>
      <x:c r="T20" s="65" t="str">
        <x:f>IF(OR(Q20="",R20=""),"",IF(R20="invalid","invalid",IF(Q20=R20,"agreement",IF(AND(Q20="no",R20="yes"),"false_accept","false_reject"))))</x:f>
      </x:c>
    </x:row>
    <x:row r="21">
      <x:c r="A21" s="24" t="s">
        <x:v>45</x:v>
      </x:c>
      <x:c r="B21" s="24" t="s">
        <x:v>11</x:v>
      </x:c>
      <x:c r="C21" s="24" t="s">
        <x:v>12</x:v>
      </x:c>
      <x:c r="D21" s="24" t="s">
        <x:v>13</x:v>
      </x:c>
      <x:c r="E21" s="24" t="s">
        <x:v>40</x:v>
      </x:c>
      <x:c r="F21" s="24" t="s">
        <x:v>41</x:v>
      </x:c>
      <x:c r="G21" s="24" t="s">
        <x:v>42</x:v>
      </x:c>
      <x:c r="H21" s="33">
        <x:v>1001</x:v>
      </x:c>
      <x:c r="I21" s="33">
        <x:v>2875613</x:v>
      </x:c>
      <x:c r="J21" s="24"/>
      <x:c r="K21" s="52"/>
      <x:c r="L21" s="52"/>
      <x:c r="M21" s="52"/>
      <x:c r="N21" s="55"/>
      <x:c r="O21" s="59" t="str">
        <x:f t="shared" si="0"/>
      </x:c>
      <x:c r="P21" s="60" t="str">
        <x:f t="shared" si="1"/>
      </x:c>
      <x:c r="Q21" s="63"/>
      <x:c r="R21" s="64"/>
      <x:c r="S21" s="65" t="str">
        <x:f>IF(OR(Q21="",R21=""),"",IF(R21="invalid",0,--(Q21=R21)))</x:f>
      </x:c>
      <x:c r="T21" s="65" t="str">
        <x:f>IF(OR(Q21="",R21=""),"",IF(R21="invalid","invalid",IF(Q21=R21,"agreement",IF(AND(Q21="no",R21="yes"),"false_accept","false_reject"))))</x:f>
      </x:c>
    </x:row>
    <x:row r="22">
      <x:c r="A22" s="24" t="s">
        <x:v>46</x:v>
      </x:c>
      <x:c r="B22" s="24" t="s">
        <x:v>11</x:v>
      </x:c>
      <x:c r="C22" s="24" t="s">
        <x:v>12</x:v>
      </x:c>
      <x:c r="D22" s="24" t="s">
        <x:v>13</x:v>
      </x:c>
      <x:c r="E22" s="24" t="s">
        <x:v>40</x:v>
      </x:c>
      <x:c r="F22" s="24" t="s">
        <x:v>47</x:v>
      </x:c>
      <x:c r="G22" s="24" t="s">
        <x:v>48</x:v>
      </x:c>
      <x:c r="H22" s="33">
        <x:v>1000</x:v>
      </x:c>
      <x:c r="I22" s="33">
        <x:v>8566257</x:v>
      </x:c>
      <x:c r="J22" s="24"/>
      <x:c r="K22" s="52"/>
      <x:c r="L22" s="52"/>
      <x:c r="M22" s="52"/>
      <x:c r="N22" s="55"/>
      <x:c r="O22" s="59" t="str">
        <x:f t="shared" si="0"/>
      </x:c>
      <x:c r="P22" s="60" t="str">
        <x:f t="shared" si="1"/>
      </x:c>
      <x:c r="Q22" s="63"/>
      <x:c r="R22" s="64"/>
      <x:c r="S22" s="65" t="str">
        <x:f>IF(OR(Q22="",R22=""),"",IF(R22="invalid",0,--(Q22=R22)))</x:f>
      </x:c>
      <x:c r="T22" s="65" t="str">
        <x:f>IF(OR(Q22="",R22=""),"",IF(R22="invalid","invalid",IF(Q22=R22,"agreement",IF(AND(Q22="no",R22="yes"),"false_accept","false_reject"))))</x:f>
      </x:c>
    </x:row>
    <x:row r="23">
      <x:c r="A23" s="24" t="s">
        <x:v>49</x:v>
      </x:c>
      <x:c r="B23" s="24" t="s">
        <x:v>11</x:v>
      </x:c>
      <x:c r="C23" s="24" t="s">
        <x:v>12</x:v>
      </x:c>
      <x:c r="D23" s="24" t="s">
        <x:v>13</x:v>
      </x:c>
      <x:c r="E23" s="24" t="s">
        <x:v>40</x:v>
      </x:c>
      <x:c r="F23" s="24" t="s">
        <x:v>47</x:v>
      </x:c>
      <x:c r="G23" s="24" t="s">
        <x:v>48</x:v>
      </x:c>
      <x:c r="H23" s="33">
        <x:v>1000</x:v>
      </x:c>
      <x:c r="I23" s="33">
        <x:v>2875613</x:v>
      </x:c>
      <x:c r="J23" s="24"/>
      <x:c r="K23" s="52"/>
      <x:c r="L23" s="52"/>
      <x:c r="M23" s="52"/>
      <x:c r="N23" s="55"/>
      <x:c r="O23" s="59" t="str">
        <x:f t="shared" si="0"/>
      </x:c>
      <x:c r="P23" s="60" t="str">
        <x:f t="shared" si="1"/>
      </x:c>
      <x:c r="Q23" s="63"/>
      <x:c r="R23" s="64"/>
      <x:c r="S23" s="65" t="str">
        <x:f>IF(OR(Q23="",R23=""),"",IF(R23="invalid",0,--(Q23=R23)))</x:f>
      </x:c>
      <x:c r="T23" s="65" t="str">
        <x:f>IF(OR(Q23="",R23=""),"",IF(R23="invalid","invalid",IF(Q23=R23,"agreement",IF(AND(Q23="no",R23="yes"),"false_accept","false_reject"))))</x:f>
      </x:c>
    </x:row>
    <x:row r="24">
      <x:c r="A24" s="24" t="s">
        <x:v>50</x:v>
      </x:c>
      <x:c r="B24" s="24" t="s">
        <x:v>11</x:v>
      </x:c>
      <x:c r="C24" s="24" t="s">
        <x:v>12</x:v>
      </x:c>
      <x:c r="D24" s="24" t="s">
        <x:v>13</x:v>
      </x:c>
      <x:c r="E24" s="24" t="s">
        <x:v>40</x:v>
      </x:c>
      <x:c r="F24" s="24" t="s">
        <x:v>47</x:v>
      </x:c>
      <x:c r="G24" s="24" t="s">
        <x:v>48</x:v>
      </x:c>
      <x:c r="H24" s="33">
        <x:v>1001</x:v>
      </x:c>
      <x:c r="I24" s="33">
        <x:v>8566257</x:v>
      </x:c>
      <x:c r="J24" s="24"/>
      <x:c r="K24" s="52"/>
      <x:c r="L24" s="52"/>
      <x:c r="M24" s="52"/>
      <x:c r="N24" s="55"/>
      <x:c r="O24" s="59" t="str">
        <x:f t="shared" si="0"/>
      </x:c>
      <x:c r="P24" s="60" t="str">
        <x:f t="shared" si="1"/>
      </x:c>
      <x:c r="Q24" s="63"/>
      <x:c r="R24" s="64"/>
      <x:c r="S24" s="65" t="str">
        <x:f>IF(OR(Q24="",R24=""),"",IF(R24="invalid",0,--(Q24=R24)))</x:f>
      </x:c>
      <x:c r="T24" s="65" t="str">
        <x:f>IF(OR(Q24="",R24=""),"",IF(R24="invalid","invalid",IF(Q24=R24,"agreement",IF(AND(Q24="no",R24="yes"),"false_accept","false_reject"))))</x:f>
      </x:c>
    </x:row>
    <x:row r="25">
      <x:c r="A25" s="24" t="s">
        <x:v>51</x:v>
      </x:c>
      <x:c r="B25" s="24" t="s">
        <x:v>11</x:v>
      </x:c>
      <x:c r="C25" s="24" t="s">
        <x:v>12</x:v>
      </x:c>
      <x:c r="D25" s="24" t="s">
        <x:v>13</x:v>
      </x:c>
      <x:c r="E25" s="24" t="s">
        <x:v>40</x:v>
      </x:c>
      <x:c r="F25" s="24" t="s">
        <x:v>47</x:v>
      </x:c>
      <x:c r="G25" s="24" t="s">
        <x:v>48</x:v>
      </x:c>
      <x:c r="H25" s="33">
        <x:v>1001</x:v>
      </x:c>
      <x:c r="I25" s="33">
        <x:v>2875613</x:v>
      </x:c>
      <x:c r="J25" s="24"/>
      <x:c r="K25" s="52"/>
      <x:c r="L25" s="52"/>
      <x:c r="M25" s="52"/>
      <x:c r="N25" s="55"/>
      <x:c r="O25" s="59" t="str">
        <x:f t="shared" si="0"/>
      </x:c>
      <x:c r="P25" s="60" t="str">
        <x:f t="shared" si="1"/>
      </x:c>
      <x:c r="Q25" s="63"/>
      <x:c r="R25" s="64"/>
      <x:c r="S25" s="65" t="str">
        <x:f>IF(OR(Q25="",R25=""),"",IF(R25="invalid",0,--(Q25=R25)))</x:f>
      </x:c>
      <x:c r="T25" s="65" t="str">
        <x:f>IF(OR(Q25="",R25=""),"",IF(R25="invalid","invalid",IF(Q25=R25,"agreement",IF(AND(Q25="no",R25="yes"),"false_accept","false_reject"))))</x:f>
      </x:c>
    </x:row>
    <x:row r="26">
      <x:c r="A26" s="24" t="s">
        <x:v>52</x:v>
      </x:c>
      <x:c r="B26" s="24" t="s">
        <x:v>11</x:v>
      </x:c>
      <x:c r="C26" s="24" t="s">
        <x:v>53</x:v>
      </x:c>
      <x:c r="D26" s="24" t="s">
        <x:v>54</x:v>
      </x:c>
      <x:c r="E26" s="24" t="s">
        <x:v>14</x:v>
      </x:c>
      <x:c r="F26" s="24" t="s">
        <x:v>15</x:v>
      </x:c>
      <x:c r="G26" s="24" t="s">
        <x:v>16</x:v>
      </x:c>
      <x:c r="H26" s="33">
        <x:v>1000</x:v>
      </x:c>
      <x:c r="I26" s="33">
        <x:v>8566257</x:v>
      </x:c>
      <x:c r="J26" s="24"/>
      <x:c r="K26" s="52"/>
      <x:c r="L26" s="52"/>
      <x:c r="M26" s="52"/>
      <x:c r="N26" s="55"/>
      <x:c r="O26" s="59" t="str">
        <x:f t="shared" si="0"/>
      </x:c>
      <x:c r="P26" s="60" t="str">
        <x:f t="shared" si="1"/>
      </x:c>
      <x:c r="Q26" s="63"/>
      <x:c r="R26" s="64"/>
      <x:c r="S26" s="65" t="str">
        <x:f>IF(OR(Q26="",R26=""),"",IF(R26="invalid",0,--(Q26=R26)))</x:f>
      </x:c>
      <x:c r="T26" s="65" t="str">
        <x:f>IF(OR(Q26="",R26=""),"",IF(R26="invalid","invalid",IF(Q26=R26,"agreement",IF(AND(Q26="no",R26="yes"),"false_accept","false_reject"))))</x:f>
      </x:c>
    </x:row>
    <x:row r="27">
      <x:c r="A27" s="24" t="s">
        <x:v>55</x:v>
      </x:c>
      <x:c r="B27" s="24" t="s">
        <x:v>11</x:v>
      </x:c>
      <x:c r="C27" s="24" t="s">
        <x:v>53</x:v>
      </x:c>
      <x:c r="D27" s="24" t="s">
        <x:v>54</x:v>
      </x:c>
      <x:c r="E27" s="24" t="s">
        <x:v>14</x:v>
      </x:c>
      <x:c r="F27" s="24" t="s">
        <x:v>15</x:v>
      </x:c>
      <x:c r="G27" s="24" t="s">
        <x:v>16</x:v>
      </x:c>
      <x:c r="H27" s="33">
        <x:v>1000</x:v>
      </x:c>
      <x:c r="I27" s="33">
        <x:v>2875613</x:v>
      </x:c>
      <x:c r="J27" s="24"/>
      <x:c r="K27" s="52"/>
      <x:c r="L27" s="52"/>
      <x:c r="M27" s="52"/>
      <x:c r="N27" s="55"/>
      <x:c r="O27" s="59" t="str">
        <x:f t="shared" si="0"/>
      </x:c>
      <x:c r="P27" s="60" t="str">
        <x:f t="shared" si="1"/>
      </x:c>
      <x:c r="Q27" s="63"/>
      <x:c r="R27" s="64"/>
      <x:c r="S27" s="65" t="str">
        <x:f>IF(OR(Q27="",R27=""),"",IF(R27="invalid",0,--(Q27=R27)))</x:f>
      </x:c>
      <x:c r="T27" s="65" t="str">
        <x:f>IF(OR(Q27="",R27=""),"",IF(R27="invalid","invalid",IF(Q27=R27,"agreement",IF(AND(Q27="no",R27="yes"),"false_accept","false_reject"))))</x:f>
      </x:c>
    </x:row>
    <x:row r="28">
      <x:c r="A28" s="24" t="s">
        <x:v>56</x:v>
      </x:c>
      <x:c r="B28" s="24" t="s">
        <x:v>11</x:v>
      </x:c>
      <x:c r="C28" s="24" t="s">
        <x:v>53</x:v>
      </x:c>
      <x:c r="D28" s="24" t="s">
        <x:v>54</x:v>
      </x:c>
      <x:c r="E28" s="24" t="s">
        <x:v>14</x:v>
      </x:c>
      <x:c r="F28" s="24" t="s">
        <x:v>15</x:v>
      </x:c>
      <x:c r="G28" s="24" t="s">
        <x:v>16</x:v>
      </x:c>
      <x:c r="H28" s="33">
        <x:v>1001</x:v>
      </x:c>
      <x:c r="I28" s="33">
        <x:v>8566257</x:v>
      </x:c>
      <x:c r="J28" s="24"/>
      <x:c r="K28" s="52"/>
      <x:c r="L28" s="52"/>
      <x:c r="M28" s="52"/>
      <x:c r="N28" s="55"/>
      <x:c r="O28" s="59" t="str">
        <x:f t="shared" si="0"/>
      </x:c>
      <x:c r="P28" s="60" t="str">
        <x:f t="shared" si="1"/>
      </x:c>
      <x:c r="Q28" s="63"/>
      <x:c r="R28" s="64"/>
      <x:c r="S28" s="65" t="str">
        <x:f>IF(OR(Q28="",R28=""),"",IF(R28="invalid",0,--(Q28=R28)))</x:f>
      </x:c>
      <x:c r="T28" s="65" t="str">
        <x:f>IF(OR(Q28="",R28=""),"",IF(R28="invalid","invalid",IF(Q28=R28,"agreement",IF(AND(Q28="no",R28="yes"),"false_accept","false_reject"))))</x:f>
      </x:c>
    </x:row>
    <x:row r="29">
      <x:c r="A29" s="24" t="s">
        <x:v>57</x:v>
      </x:c>
      <x:c r="B29" s="24" t="s">
        <x:v>11</x:v>
      </x:c>
      <x:c r="C29" s="24" t="s">
        <x:v>53</x:v>
      </x:c>
      <x:c r="D29" s="24" t="s">
        <x:v>54</x:v>
      </x:c>
      <x:c r="E29" s="24" t="s">
        <x:v>14</x:v>
      </x:c>
      <x:c r="F29" s="24" t="s">
        <x:v>15</x:v>
      </x:c>
      <x:c r="G29" s="24" t="s">
        <x:v>16</x:v>
      </x:c>
      <x:c r="H29" s="33">
        <x:v>1001</x:v>
      </x:c>
      <x:c r="I29" s="33">
        <x:v>2875613</x:v>
      </x:c>
      <x:c r="J29" s="24"/>
      <x:c r="K29" s="52"/>
      <x:c r="L29" s="52"/>
      <x:c r="M29" s="52"/>
      <x:c r="N29" s="55"/>
      <x:c r="O29" s="59" t="str">
        <x:f t="shared" si="0"/>
      </x:c>
      <x:c r="P29" s="60" t="str">
        <x:f t="shared" si="1"/>
      </x:c>
      <x:c r="Q29" s="63"/>
      <x:c r="R29" s="64"/>
      <x:c r="S29" s="65" t="str">
        <x:f>IF(OR(Q29="",R29=""),"",IF(R29="invalid",0,--(Q29=R29)))</x:f>
      </x:c>
      <x:c r="T29" s="65" t="str">
        <x:f>IF(OR(Q29="",R29=""),"",IF(R29="invalid","invalid",IF(Q29=R29,"agreement",IF(AND(Q29="no",R29="yes"),"false_accept","false_reject"))))</x:f>
      </x:c>
    </x:row>
    <x:row r="30">
      <x:c r="A30" s="24" t="s">
        <x:v>58</x:v>
      </x:c>
      <x:c r="B30" s="24" t="s">
        <x:v>11</x:v>
      </x:c>
      <x:c r="C30" s="24" t="s">
        <x:v>53</x:v>
      </x:c>
      <x:c r="D30" s="24" t="s">
        <x:v>54</x:v>
      </x:c>
      <x:c r="E30" s="24" t="s">
        <x:v>14</x:v>
      </x:c>
      <x:c r="F30" s="24" t="s">
        <x:v>21</x:v>
      </x:c>
      <x:c r="G30" s="24" t="s">
        <x:v>22</x:v>
      </x:c>
      <x:c r="H30" s="33">
        <x:v>1000</x:v>
      </x:c>
      <x:c r="I30" s="33">
        <x:v>8566257</x:v>
      </x:c>
      <x:c r="J30" s="24"/>
      <x:c r="K30" s="52"/>
      <x:c r="L30" s="52"/>
      <x:c r="M30" s="52"/>
      <x:c r="N30" s="55"/>
      <x:c r="O30" s="59" t="str">
        <x:f t="shared" si="0"/>
      </x:c>
      <x:c r="P30" s="60" t="str">
        <x:f t="shared" si="1"/>
      </x:c>
      <x:c r="Q30" s="63"/>
      <x:c r="R30" s="64"/>
      <x:c r="S30" s="65" t="str">
        <x:f>IF(OR(Q30="",R30=""),"",IF(R30="invalid",0,--(Q30=R30)))</x:f>
      </x:c>
      <x:c r="T30" s="65" t="str">
        <x:f>IF(OR(Q30="",R30=""),"",IF(R30="invalid","invalid",IF(Q30=R30,"agreement",IF(AND(Q30="no",R30="yes"),"false_accept","false_reject"))))</x:f>
      </x:c>
    </x:row>
    <x:row r="31">
      <x:c r="A31" s="24" t="s">
        <x:v>59</x:v>
      </x:c>
      <x:c r="B31" s="24" t="s">
        <x:v>11</x:v>
      </x:c>
      <x:c r="C31" s="24" t="s">
        <x:v>53</x:v>
      </x:c>
      <x:c r="D31" s="24" t="s">
        <x:v>54</x:v>
      </x:c>
      <x:c r="E31" s="24" t="s">
        <x:v>14</x:v>
      </x:c>
      <x:c r="F31" s="24" t="s">
        <x:v>21</x:v>
      </x:c>
      <x:c r="G31" s="24" t="s">
        <x:v>22</x:v>
      </x:c>
      <x:c r="H31" s="33">
        <x:v>1000</x:v>
      </x:c>
      <x:c r="I31" s="33">
        <x:v>2875613</x:v>
      </x:c>
      <x:c r="J31" s="24"/>
      <x:c r="K31" s="52"/>
      <x:c r="L31" s="52"/>
      <x:c r="M31" s="52"/>
      <x:c r="N31" s="55"/>
      <x:c r="O31" s="59" t="str">
        <x:f t="shared" si="0"/>
      </x:c>
      <x:c r="P31" s="60" t="str">
        <x:f t="shared" si="1"/>
      </x:c>
      <x:c r="Q31" s="63"/>
      <x:c r="R31" s="64"/>
      <x:c r="S31" s="65" t="str">
        <x:f>IF(OR(Q31="",R31=""),"",IF(R31="invalid",0,--(Q31=R31)))</x:f>
      </x:c>
      <x:c r="T31" s="65" t="str">
        <x:f>IF(OR(Q31="",R31=""),"",IF(R31="invalid","invalid",IF(Q31=R31,"agreement",IF(AND(Q31="no",R31="yes"),"false_accept","false_reject"))))</x:f>
      </x:c>
    </x:row>
    <x:row r="32">
      <x:c r="A32" s="24" t="s">
        <x:v>60</x:v>
      </x:c>
      <x:c r="B32" s="24" t="s">
        <x:v>11</x:v>
      </x:c>
      <x:c r="C32" s="24" t="s">
        <x:v>53</x:v>
      </x:c>
      <x:c r="D32" s="24" t="s">
        <x:v>54</x:v>
      </x:c>
      <x:c r="E32" s="24" t="s">
        <x:v>14</x:v>
      </x:c>
      <x:c r="F32" s="24" t="s">
        <x:v>21</x:v>
      </x:c>
      <x:c r="G32" s="24" t="s">
        <x:v>22</x:v>
      </x:c>
      <x:c r="H32" s="33">
        <x:v>1001</x:v>
      </x:c>
      <x:c r="I32" s="33">
        <x:v>8566257</x:v>
      </x:c>
      <x:c r="J32" s="24"/>
      <x:c r="K32" s="52"/>
      <x:c r="L32" s="52"/>
      <x:c r="M32" s="52"/>
      <x:c r="N32" s="55"/>
      <x:c r="O32" s="59" t="str">
        <x:f t="shared" si="0"/>
      </x:c>
      <x:c r="P32" s="60" t="str">
        <x:f t="shared" si="1"/>
      </x:c>
      <x:c r="Q32" s="63"/>
      <x:c r="R32" s="64"/>
      <x:c r="S32" s="65" t="str">
        <x:f>IF(OR(Q32="",R32=""),"",IF(R32="invalid",0,--(Q32=R32)))</x:f>
      </x:c>
      <x:c r="T32" s="65" t="str">
        <x:f>IF(OR(Q32="",R32=""),"",IF(R32="invalid","invalid",IF(Q32=R32,"agreement",IF(AND(Q32="no",R32="yes"),"false_accept","false_reject"))))</x:f>
      </x:c>
    </x:row>
    <x:row r="33">
      <x:c r="A33" s="24" t="s">
        <x:v>61</x:v>
      </x:c>
      <x:c r="B33" s="24" t="s">
        <x:v>11</x:v>
      </x:c>
      <x:c r="C33" s="24" t="s">
        <x:v>53</x:v>
      </x:c>
      <x:c r="D33" s="24" t="s">
        <x:v>54</x:v>
      </x:c>
      <x:c r="E33" s="24" t="s">
        <x:v>14</x:v>
      </x:c>
      <x:c r="F33" s="24" t="s">
        <x:v>21</x:v>
      </x:c>
      <x:c r="G33" s="24" t="s">
        <x:v>22</x:v>
      </x:c>
      <x:c r="H33" s="33">
        <x:v>1001</x:v>
      </x:c>
      <x:c r="I33" s="33">
        <x:v>2875613</x:v>
      </x:c>
      <x:c r="J33" s="24"/>
      <x:c r="K33" s="52"/>
      <x:c r="L33" s="52"/>
      <x:c r="M33" s="52"/>
      <x:c r="N33" s="55"/>
      <x:c r="O33" s="59" t="str">
        <x:f t="shared" si="0"/>
      </x:c>
      <x:c r="P33" s="60" t="str">
        <x:f t="shared" si="1"/>
      </x:c>
      <x:c r="Q33" s="63"/>
      <x:c r="R33" s="64"/>
      <x:c r="S33" s="65" t="str">
        <x:f>IF(OR(Q33="",R33=""),"",IF(R33="invalid",0,--(Q33=R33)))</x:f>
      </x:c>
      <x:c r="T33" s="65" t="str">
        <x:f>IF(OR(Q33="",R33=""),"",IF(R33="invalid","invalid",IF(Q33=R33,"agreement",IF(AND(Q33="no",R33="yes"),"false_accept","false_reject"))))</x:f>
      </x:c>
    </x:row>
    <x:row r="34">
      <x:c r="A34" s="24" t="s">
        <x:v>62</x:v>
      </x:c>
      <x:c r="B34" s="24" t="s">
        <x:v>11</x:v>
      </x:c>
      <x:c r="C34" s="24" t="s">
        <x:v>53</x:v>
      </x:c>
      <x:c r="D34" s="24" t="s">
        <x:v>54</x:v>
      </x:c>
      <x:c r="E34" s="24" t="s">
        <x:v>27</x:v>
      </x:c>
      <x:c r="F34" s="24" t="s">
        <x:v>28</x:v>
      </x:c>
      <x:c r="G34" s="24" t="s">
        <x:v>29</x:v>
      </x:c>
      <x:c r="H34" s="33">
        <x:v>1000</x:v>
      </x:c>
      <x:c r="I34" s="33">
        <x:v>8566257</x:v>
      </x:c>
      <x:c r="J34" s="24"/>
      <x:c r="K34" s="52"/>
      <x:c r="L34" s="52"/>
      <x:c r="M34" s="52"/>
      <x:c r="N34" s="55"/>
      <x:c r="O34" s="59" t="str">
        <x:f t="shared" ref="O34:O65" si="2">IF(OR(K34="",N34=""),"",IF(N34="invalid",0,--(K34=N34)))</x:f>
      </x:c>
      <x:c r="P34" s="60" t="str">
        <x:f t="shared" ref="P34:P65" si="3">IF(OR(K34="",N34=""),"",IF(N34="invalid","invalid",IF(K34=N34,"agreement",IF(AND(K34="no",N34="yes"),"false_accept","false_reject"))))</x:f>
      </x:c>
      <x:c r="Q34" s="63"/>
      <x:c r="R34" s="64"/>
      <x:c r="S34" s="65" t="str">
        <x:f>IF(OR(Q34="",R34=""),"",IF(R34="invalid",0,--(Q34=R34)))</x:f>
      </x:c>
      <x:c r="T34" s="65" t="str">
        <x:f>IF(OR(Q34="",R34=""),"",IF(R34="invalid","invalid",IF(Q34=R34,"agreement",IF(AND(Q34="no",R34="yes"),"false_accept","false_reject"))))</x:f>
      </x:c>
    </x:row>
    <x:row r="35">
      <x:c r="A35" s="24" t="s">
        <x:v>63</x:v>
      </x:c>
      <x:c r="B35" s="24" t="s">
        <x:v>11</x:v>
      </x:c>
      <x:c r="C35" s="24" t="s">
        <x:v>53</x:v>
      </x:c>
      <x:c r="D35" s="24" t="s">
        <x:v>54</x:v>
      </x:c>
      <x:c r="E35" s="24" t="s">
        <x:v>27</x:v>
      </x:c>
      <x:c r="F35" s="24" t="s">
        <x:v>28</x:v>
      </x:c>
      <x:c r="G35" s="24" t="s">
        <x:v>29</x:v>
      </x:c>
      <x:c r="H35" s="33">
        <x:v>1000</x:v>
      </x:c>
      <x:c r="I35" s="33">
        <x:v>2875613</x:v>
      </x:c>
      <x:c r="J35" s="24"/>
      <x:c r="K35" s="52"/>
      <x:c r="L35" s="52"/>
      <x:c r="M35" s="52"/>
      <x:c r="N35" s="55"/>
      <x:c r="O35" s="59" t="str">
        <x:f t="shared" si="2"/>
      </x:c>
      <x:c r="P35" s="60" t="str">
        <x:f t="shared" si="3"/>
      </x:c>
      <x:c r="Q35" s="63"/>
      <x:c r="R35" s="64"/>
      <x:c r="S35" s="65" t="str">
        <x:f>IF(OR(Q35="",R35=""),"",IF(R35="invalid",0,--(Q35=R35)))</x:f>
      </x:c>
      <x:c r="T35" s="65" t="str">
        <x:f>IF(OR(Q35="",R35=""),"",IF(R35="invalid","invalid",IF(Q35=R35,"agreement",IF(AND(Q35="no",R35="yes"),"false_accept","false_reject"))))</x:f>
      </x:c>
    </x:row>
    <x:row r="36">
      <x:c r="A36" s="24" t="s">
        <x:v>64</x:v>
      </x:c>
      <x:c r="B36" s="24" t="s">
        <x:v>11</x:v>
      </x:c>
      <x:c r="C36" s="24" t="s">
        <x:v>53</x:v>
      </x:c>
      <x:c r="D36" s="24" t="s">
        <x:v>54</x:v>
      </x:c>
      <x:c r="E36" s="24" t="s">
        <x:v>27</x:v>
      </x:c>
      <x:c r="F36" s="24" t="s">
        <x:v>28</x:v>
      </x:c>
      <x:c r="G36" s="24" t="s">
        <x:v>29</x:v>
      </x:c>
      <x:c r="H36" s="33">
        <x:v>1001</x:v>
      </x:c>
      <x:c r="I36" s="33">
        <x:v>8566257</x:v>
      </x:c>
      <x:c r="J36" s="24"/>
      <x:c r="K36" s="52"/>
      <x:c r="L36" s="52"/>
      <x:c r="M36" s="52"/>
      <x:c r="N36" s="55"/>
      <x:c r="O36" s="59" t="str">
        <x:f t="shared" si="2"/>
      </x:c>
      <x:c r="P36" s="60" t="str">
        <x:f t="shared" si="3"/>
      </x:c>
      <x:c r="Q36" s="63"/>
      <x:c r="R36" s="64"/>
      <x:c r="S36" s="65" t="str">
        <x:f>IF(OR(Q36="",R36=""),"",IF(R36="invalid",0,--(Q36=R36)))</x:f>
      </x:c>
      <x:c r="T36" s="65" t="str">
        <x:f>IF(OR(Q36="",R36=""),"",IF(R36="invalid","invalid",IF(Q36=R36,"agreement",IF(AND(Q36="no",R36="yes"),"false_accept","false_reject"))))</x:f>
      </x:c>
    </x:row>
    <x:row r="37">
      <x:c r="A37" s="24" t="s">
        <x:v>65</x:v>
      </x:c>
      <x:c r="B37" s="24" t="s">
        <x:v>11</x:v>
      </x:c>
      <x:c r="C37" s="24" t="s">
        <x:v>53</x:v>
      </x:c>
      <x:c r="D37" s="24" t="s">
        <x:v>54</x:v>
      </x:c>
      <x:c r="E37" s="24" t="s">
        <x:v>27</x:v>
      </x:c>
      <x:c r="F37" s="24" t="s">
        <x:v>28</x:v>
      </x:c>
      <x:c r="G37" s="24" t="s">
        <x:v>29</x:v>
      </x:c>
      <x:c r="H37" s="33">
        <x:v>1001</x:v>
      </x:c>
      <x:c r="I37" s="33">
        <x:v>2875613</x:v>
      </x:c>
      <x:c r="J37" s="24"/>
      <x:c r="K37" s="52"/>
      <x:c r="L37" s="52"/>
      <x:c r="M37" s="52"/>
      <x:c r="N37" s="55"/>
      <x:c r="O37" s="59" t="str">
        <x:f t="shared" si="2"/>
      </x:c>
      <x:c r="P37" s="60" t="str">
        <x:f t="shared" si="3"/>
      </x:c>
      <x:c r="Q37" s="63"/>
      <x:c r="R37" s="64"/>
      <x:c r="S37" s="65" t="str">
        <x:f>IF(OR(Q37="",R37=""),"",IF(R37="invalid",0,--(Q37=R37)))</x:f>
      </x:c>
      <x:c r="T37" s="65" t="str">
        <x:f>IF(OR(Q37="",R37=""),"",IF(R37="invalid","invalid",IF(Q37=R37,"agreement",IF(AND(Q37="no",R37="yes"),"false_accept","false_reject"))))</x:f>
      </x:c>
    </x:row>
    <x:row r="38">
      <x:c r="A38" s="24" t="s">
        <x:v>66</x:v>
      </x:c>
      <x:c r="B38" s="24" t="s">
        <x:v>11</x:v>
      </x:c>
      <x:c r="C38" s="24" t="s">
        <x:v>53</x:v>
      </x:c>
      <x:c r="D38" s="24" t="s">
        <x:v>54</x:v>
      </x:c>
      <x:c r="E38" s="24" t="s">
        <x:v>27</x:v>
      </x:c>
      <x:c r="F38" s="24" t="s">
        <x:v>34</x:v>
      </x:c>
      <x:c r="G38" s="24" t="s">
        <x:v>35</x:v>
      </x:c>
      <x:c r="H38" s="33">
        <x:v>1000</x:v>
      </x:c>
      <x:c r="I38" s="33">
        <x:v>8566257</x:v>
      </x:c>
      <x:c r="J38" s="24"/>
      <x:c r="K38" s="52"/>
      <x:c r="L38" s="52"/>
      <x:c r="M38" s="52"/>
      <x:c r="N38" s="55"/>
      <x:c r="O38" s="59" t="str">
        <x:f t="shared" si="2"/>
      </x:c>
      <x:c r="P38" s="60" t="str">
        <x:f t="shared" si="3"/>
      </x:c>
      <x:c r="Q38" s="63"/>
      <x:c r="R38" s="64"/>
      <x:c r="S38" s="65" t="str">
        <x:f>IF(OR(Q38="",R38=""),"",IF(R38="invalid",0,--(Q38=R38)))</x:f>
      </x:c>
      <x:c r="T38" s="65" t="str">
        <x:f>IF(OR(Q38="",R38=""),"",IF(R38="invalid","invalid",IF(Q38=R38,"agreement",IF(AND(Q38="no",R38="yes"),"false_accept","false_reject"))))</x:f>
      </x:c>
    </x:row>
    <x:row r="39">
      <x:c r="A39" s="24" t="s">
        <x:v>67</x:v>
      </x:c>
      <x:c r="B39" s="24" t="s">
        <x:v>11</x:v>
      </x:c>
      <x:c r="C39" s="24" t="s">
        <x:v>53</x:v>
      </x:c>
      <x:c r="D39" s="24" t="s">
        <x:v>54</x:v>
      </x:c>
      <x:c r="E39" s="24" t="s">
        <x:v>27</x:v>
      </x:c>
      <x:c r="F39" s="24" t="s">
        <x:v>34</x:v>
      </x:c>
      <x:c r="G39" s="24" t="s">
        <x:v>35</x:v>
      </x:c>
      <x:c r="H39" s="33">
        <x:v>1000</x:v>
      </x:c>
      <x:c r="I39" s="33">
        <x:v>2875613</x:v>
      </x:c>
      <x:c r="J39" s="24"/>
      <x:c r="K39" s="52"/>
      <x:c r="L39" s="52"/>
      <x:c r="M39" s="52"/>
      <x:c r="N39" s="55"/>
      <x:c r="O39" s="59" t="str">
        <x:f t="shared" si="2"/>
      </x:c>
      <x:c r="P39" s="60" t="str">
        <x:f t="shared" si="3"/>
      </x:c>
      <x:c r="Q39" s="63"/>
      <x:c r="R39" s="64"/>
      <x:c r="S39" s="65" t="str">
        <x:f>IF(OR(Q39="",R39=""),"",IF(R39="invalid",0,--(Q39=R39)))</x:f>
      </x:c>
      <x:c r="T39" s="65" t="str">
        <x:f>IF(OR(Q39="",R39=""),"",IF(R39="invalid","invalid",IF(Q39=R39,"agreement",IF(AND(Q39="no",R39="yes"),"false_accept","false_reject"))))</x:f>
      </x:c>
    </x:row>
    <x:row r="40">
      <x:c r="A40" s="24" t="s">
        <x:v>68</x:v>
      </x:c>
      <x:c r="B40" s="24" t="s">
        <x:v>11</x:v>
      </x:c>
      <x:c r="C40" s="24" t="s">
        <x:v>53</x:v>
      </x:c>
      <x:c r="D40" s="24" t="s">
        <x:v>54</x:v>
      </x:c>
      <x:c r="E40" s="24" t="s">
        <x:v>27</x:v>
      </x:c>
      <x:c r="F40" s="24" t="s">
        <x:v>34</x:v>
      </x:c>
      <x:c r="G40" s="24" t="s">
        <x:v>35</x:v>
      </x:c>
      <x:c r="H40" s="33">
        <x:v>1001</x:v>
      </x:c>
      <x:c r="I40" s="33">
        <x:v>8566257</x:v>
      </x:c>
      <x:c r="J40" s="24"/>
      <x:c r="K40" s="52"/>
      <x:c r="L40" s="52"/>
      <x:c r="M40" s="52"/>
      <x:c r="N40" s="55"/>
      <x:c r="O40" s="59" t="str">
        <x:f t="shared" si="2"/>
      </x:c>
      <x:c r="P40" s="60" t="str">
        <x:f t="shared" si="3"/>
      </x:c>
      <x:c r="Q40" s="63"/>
      <x:c r="R40" s="64"/>
      <x:c r="S40" s="65" t="str">
        <x:f>IF(OR(Q40="",R40=""),"",IF(R40="invalid",0,--(Q40=R40)))</x:f>
      </x:c>
      <x:c r="T40" s="65" t="str">
        <x:f>IF(OR(Q40="",R40=""),"",IF(R40="invalid","invalid",IF(Q40=R40,"agreement",IF(AND(Q40="no",R40="yes"),"false_accept","false_reject"))))</x:f>
      </x:c>
    </x:row>
    <x:row r="41">
      <x:c r="A41" s="24" t="s">
        <x:v>69</x:v>
      </x:c>
      <x:c r="B41" s="24" t="s">
        <x:v>11</x:v>
      </x:c>
      <x:c r="C41" s="24" t="s">
        <x:v>53</x:v>
      </x:c>
      <x:c r="D41" s="24" t="s">
        <x:v>54</x:v>
      </x:c>
      <x:c r="E41" s="24" t="s">
        <x:v>27</x:v>
      </x:c>
      <x:c r="F41" s="24" t="s">
        <x:v>34</x:v>
      </x:c>
      <x:c r="G41" s="24" t="s">
        <x:v>35</x:v>
      </x:c>
      <x:c r="H41" s="33">
        <x:v>1001</x:v>
      </x:c>
      <x:c r="I41" s="33">
        <x:v>2875613</x:v>
      </x:c>
      <x:c r="J41" s="24"/>
      <x:c r="K41" s="52"/>
      <x:c r="L41" s="52"/>
      <x:c r="M41" s="52"/>
      <x:c r="N41" s="55"/>
      <x:c r="O41" s="59" t="str">
        <x:f t="shared" si="2"/>
      </x:c>
      <x:c r="P41" s="60" t="str">
        <x:f t="shared" si="3"/>
      </x:c>
      <x:c r="Q41" s="63"/>
      <x:c r="R41" s="64"/>
      <x:c r="S41" s="65" t="str">
        <x:f>IF(OR(Q41="",R41=""),"",IF(R41="invalid",0,--(Q41=R41)))</x:f>
      </x:c>
      <x:c r="T41" s="65" t="str">
        <x:f>IF(OR(Q41="",R41=""),"",IF(R41="invalid","invalid",IF(Q41=R41,"agreement",IF(AND(Q41="no",R41="yes"),"false_accept","false_reject"))))</x:f>
      </x:c>
    </x:row>
    <x:row r="42">
      <x:c r="A42" s="24" t="s">
        <x:v>70</x:v>
      </x:c>
      <x:c r="B42" s="24" t="s">
        <x:v>11</x:v>
      </x:c>
      <x:c r="C42" s="24" t="s">
        <x:v>53</x:v>
      </x:c>
      <x:c r="D42" s="24" t="s">
        <x:v>54</x:v>
      </x:c>
      <x:c r="E42" s="24" t="s">
        <x:v>40</x:v>
      </x:c>
      <x:c r="F42" s="24" t="s">
        <x:v>41</x:v>
      </x:c>
      <x:c r="G42" s="24" t="s">
        <x:v>42</x:v>
      </x:c>
      <x:c r="H42" s="33">
        <x:v>1000</x:v>
      </x:c>
      <x:c r="I42" s="33">
        <x:v>8566257</x:v>
      </x:c>
      <x:c r="J42" s="24"/>
      <x:c r="K42" s="52"/>
      <x:c r="L42" s="52"/>
      <x:c r="M42" s="52"/>
      <x:c r="N42" s="55"/>
      <x:c r="O42" s="59" t="str">
        <x:f t="shared" si="2"/>
      </x:c>
      <x:c r="P42" s="60" t="str">
        <x:f t="shared" si="3"/>
      </x:c>
      <x:c r="Q42" s="63"/>
      <x:c r="R42" s="64"/>
      <x:c r="S42" s="65" t="str">
        <x:f>IF(OR(Q42="",R42=""),"",IF(R42="invalid",0,--(Q42=R42)))</x:f>
      </x:c>
      <x:c r="T42" s="65" t="str">
        <x:f>IF(OR(Q42="",R42=""),"",IF(R42="invalid","invalid",IF(Q42=R42,"agreement",IF(AND(Q42="no",R42="yes"),"false_accept","false_reject"))))</x:f>
      </x:c>
    </x:row>
    <x:row r="43">
      <x:c r="A43" s="24" t="s">
        <x:v>71</x:v>
      </x:c>
      <x:c r="B43" s="24" t="s">
        <x:v>11</x:v>
      </x:c>
      <x:c r="C43" s="24" t="s">
        <x:v>53</x:v>
      </x:c>
      <x:c r="D43" s="24" t="s">
        <x:v>54</x:v>
      </x:c>
      <x:c r="E43" s="24" t="s">
        <x:v>40</x:v>
      </x:c>
      <x:c r="F43" s="24" t="s">
        <x:v>41</x:v>
      </x:c>
      <x:c r="G43" s="24" t="s">
        <x:v>42</x:v>
      </x:c>
      <x:c r="H43" s="33">
        <x:v>1000</x:v>
      </x:c>
      <x:c r="I43" s="33">
        <x:v>2875613</x:v>
      </x:c>
      <x:c r="J43" s="24"/>
      <x:c r="K43" s="52"/>
      <x:c r="L43" s="52"/>
      <x:c r="M43" s="52"/>
      <x:c r="N43" s="55"/>
      <x:c r="O43" s="59" t="str">
        <x:f t="shared" si="2"/>
      </x:c>
      <x:c r="P43" s="60" t="str">
        <x:f t="shared" si="3"/>
      </x:c>
      <x:c r="Q43" s="63"/>
      <x:c r="R43" s="64"/>
      <x:c r="S43" s="65" t="str">
        <x:f>IF(OR(Q43="",R43=""),"",IF(R43="invalid",0,--(Q43=R43)))</x:f>
      </x:c>
      <x:c r="T43" s="65" t="str">
        <x:f>IF(OR(Q43="",R43=""),"",IF(R43="invalid","invalid",IF(Q43=R43,"agreement",IF(AND(Q43="no",R43="yes"),"false_accept","false_reject"))))</x:f>
      </x:c>
    </x:row>
    <x:row r="44">
      <x:c r="A44" s="24" t="s">
        <x:v>72</x:v>
      </x:c>
      <x:c r="B44" s="24" t="s">
        <x:v>11</x:v>
      </x:c>
      <x:c r="C44" s="24" t="s">
        <x:v>53</x:v>
      </x:c>
      <x:c r="D44" s="24" t="s">
        <x:v>54</x:v>
      </x:c>
      <x:c r="E44" s="24" t="s">
        <x:v>40</x:v>
      </x:c>
      <x:c r="F44" s="24" t="s">
        <x:v>41</x:v>
      </x:c>
      <x:c r="G44" s="24" t="s">
        <x:v>42</x:v>
      </x:c>
      <x:c r="H44" s="33">
        <x:v>1001</x:v>
      </x:c>
      <x:c r="I44" s="33">
        <x:v>8566257</x:v>
      </x:c>
      <x:c r="J44" s="24"/>
      <x:c r="K44" s="52"/>
      <x:c r="L44" s="52"/>
      <x:c r="M44" s="52"/>
      <x:c r="N44" s="55"/>
      <x:c r="O44" s="59" t="str">
        <x:f t="shared" si="2"/>
      </x:c>
      <x:c r="P44" s="60" t="str">
        <x:f t="shared" si="3"/>
      </x:c>
      <x:c r="Q44" s="63"/>
      <x:c r="R44" s="64"/>
      <x:c r="S44" s="65" t="str">
        <x:f>IF(OR(Q44="",R44=""),"",IF(R44="invalid",0,--(Q44=R44)))</x:f>
      </x:c>
      <x:c r="T44" s="65" t="str">
        <x:f>IF(OR(Q44="",R44=""),"",IF(R44="invalid","invalid",IF(Q44=R44,"agreement",IF(AND(Q44="no",R44="yes"),"false_accept","false_reject"))))</x:f>
      </x:c>
    </x:row>
    <x:row r="45">
      <x:c r="A45" s="24" t="s">
        <x:v>73</x:v>
      </x:c>
      <x:c r="B45" s="24" t="s">
        <x:v>11</x:v>
      </x:c>
      <x:c r="C45" s="24" t="s">
        <x:v>53</x:v>
      </x:c>
      <x:c r="D45" s="24" t="s">
        <x:v>54</x:v>
      </x:c>
      <x:c r="E45" s="24" t="s">
        <x:v>40</x:v>
      </x:c>
      <x:c r="F45" s="24" t="s">
        <x:v>41</x:v>
      </x:c>
      <x:c r="G45" s="24" t="s">
        <x:v>42</x:v>
      </x:c>
      <x:c r="H45" s="33">
        <x:v>1001</x:v>
      </x:c>
      <x:c r="I45" s="33">
        <x:v>2875613</x:v>
      </x:c>
      <x:c r="J45" s="24"/>
      <x:c r="K45" s="52"/>
      <x:c r="L45" s="52"/>
      <x:c r="M45" s="52"/>
      <x:c r="N45" s="55"/>
      <x:c r="O45" s="59" t="str">
        <x:f t="shared" si="2"/>
      </x:c>
      <x:c r="P45" s="60" t="str">
        <x:f t="shared" si="3"/>
      </x:c>
      <x:c r="Q45" s="63"/>
      <x:c r="R45" s="64"/>
      <x:c r="S45" s="65" t="str">
        <x:f>IF(OR(Q45="",R45=""),"",IF(R45="invalid",0,--(Q45=R45)))</x:f>
      </x:c>
      <x:c r="T45" s="65" t="str">
        <x:f>IF(OR(Q45="",R45=""),"",IF(R45="invalid","invalid",IF(Q45=R45,"agreement",IF(AND(Q45="no",R45="yes"),"false_accept","false_reject"))))</x:f>
      </x:c>
    </x:row>
    <x:row r="46">
      <x:c r="A46" s="24" t="s">
        <x:v>74</x:v>
      </x:c>
      <x:c r="B46" s="24" t="s">
        <x:v>11</x:v>
      </x:c>
      <x:c r="C46" s="24" t="s">
        <x:v>53</x:v>
      </x:c>
      <x:c r="D46" s="24" t="s">
        <x:v>54</x:v>
      </x:c>
      <x:c r="E46" s="24" t="s">
        <x:v>40</x:v>
      </x:c>
      <x:c r="F46" s="24" t="s">
        <x:v>47</x:v>
      </x:c>
      <x:c r="G46" s="24" t="s">
        <x:v>48</x:v>
      </x:c>
      <x:c r="H46" s="33">
        <x:v>1000</x:v>
      </x:c>
      <x:c r="I46" s="33">
        <x:v>8566257</x:v>
      </x:c>
      <x:c r="J46" s="24"/>
      <x:c r="K46" s="52"/>
      <x:c r="L46" s="52"/>
      <x:c r="M46" s="52"/>
      <x:c r="N46" s="55"/>
      <x:c r="O46" s="59" t="str">
        <x:f t="shared" si="2"/>
      </x:c>
      <x:c r="P46" s="60" t="str">
        <x:f t="shared" si="3"/>
      </x:c>
      <x:c r="Q46" s="63"/>
      <x:c r="R46" s="64"/>
      <x:c r="S46" s="65" t="str">
        <x:f>IF(OR(Q46="",R46=""),"",IF(R46="invalid",0,--(Q46=R46)))</x:f>
      </x:c>
      <x:c r="T46" s="65" t="str">
        <x:f>IF(OR(Q46="",R46=""),"",IF(R46="invalid","invalid",IF(Q46=R46,"agreement",IF(AND(Q46="no",R46="yes"),"false_accept","false_reject"))))</x:f>
      </x:c>
    </x:row>
    <x:row r="47">
      <x:c r="A47" s="24" t="s">
        <x:v>75</x:v>
      </x:c>
      <x:c r="B47" s="24" t="s">
        <x:v>11</x:v>
      </x:c>
      <x:c r="C47" s="24" t="s">
        <x:v>53</x:v>
      </x:c>
      <x:c r="D47" s="24" t="s">
        <x:v>54</x:v>
      </x:c>
      <x:c r="E47" s="24" t="s">
        <x:v>40</x:v>
      </x:c>
      <x:c r="F47" s="24" t="s">
        <x:v>47</x:v>
      </x:c>
      <x:c r="G47" s="24" t="s">
        <x:v>48</x:v>
      </x:c>
      <x:c r="H47" s="33">
        <x:v>1000</x:v>
      </x:c>
      <x:c r="I47" s="33">
        <x:v>2875613</x:v>
      </x:c>
      <x:c r="J47" s="24"/>
      <x:c r="K47" s="52"/>
      <x:c r="L47" s="52"/>
      <x:c r="M47" s="52"/>
      <x:c r="N47" s="55"/>
      <x:c r="O47" s="59" t="str">
        <x:f t="shared" si="2"/>
      </x:c>
      <x:c r="P47" s="60" t="str">
        <x:f t="shared" si="3"/>
      </x:c>
      <x:c r="Q47" s="63"/>
      <x:c r="R47" s="64"/>
      <x:c r="S47" s="65" t="str">
        <x:f>IF(OR(Q47="",R47=""),"",IF(R47="invalid",0,--(Q47=R47)))</x:f>
      </x:c>
      <x:c r="T47" s="65" t="str">
        <x:f>IF(OR(Q47="",R47=""),"",IF(R47="invalid","invalid",IF(Q47=R47,"agreement",IF(AND(Q47="no",R47="yes"),"false_accept","false_reject"))))</x:f>
      </x:c>
    </x:row>
    <x:row r="48">
      <x:c r="A48" s="24" t="s">
        <x:v>76</x:v>
      </x:c>
      <x:c r="B48" s="24" t="s">
        <x:v>11</x:v>
      </x:c>
      <x:c r="C48" s="24" t="s">
        <x:v>53</x:v>
      </x:c>
      <x:c r="D48" s="24" t="s">
        <x:v>54</x:v>
      </x:c>
      <x:c r="E48" s="24" t="s">
        <x:v>40</x:v>
      </x:c>
      <x:c r="F48" s="24" t="s">
        <x:v>47</x:v>
      </x:c>
      <x:c r="G48" s="24" t="s">
        <x:v>48</x:v>
      </x:c>
      <x:c r="H48" s="33">
        <x:v>1001</x:v>
      </x:c>
      <x:c r="I48" s="33">
        <x:v>8566257</x:v>
      </x:c>
      <x:c r="J48" s="24"/>
      <x:c r="K48" s="52"/>
      <x:c r="L48" s="52"/>
      <x:c r="M48" s="52"/>
      <x:c r="N48" s="55"/>
      <x:c r="O48" s="59" t="str">
        <x:f t="shared" si="2"/>
      </x:c>
      <x:c r="P48" s="60" t="str">
        <x:f t="shared" si="3"/>
      </x:c>
      <x:c r="Q48" s="63"/>
      <x:c r="R48" s="64"/>
      <x:c r="S48" s="65" t="str">
        <x:f>IF(OR(Q48="",R48=""),"",IF(R48="invalid",0,--(Q48=R48)))</x:f>
      </x:c>
      <x:c r="T48" s="65" t="str">
        <x:f>IF(OR(Q48="",R48=""),"",IF(R48="invalid","invalid",IF(Q48=R48,"agreement",IF(AND(Q48="no",R48="yes"),"false_accept","false_reject"))))</x:f>
      </x:c>
    </x:row>
    <x:row r="49">
      <x:c r="A49" s="24" t="s">
        <x:v>77</x:v>
      </x:c>
      <x:c r="B49" s="24" t="s">
        <x:v>11</x:v>
      </x:c>
      <x:c r="C49" s="24" t="s">
        <x:v>53</x:v>
      </x:c>
      <x:c r="D49" s="24" t="s">
        <x:v>54</x:v>
      </x:c>
      <x:c r="E49" s="24" t="s">
        <x:v>40</x:v>
      </x:c>
      <x:c r="F49" s="24" t="s">
        <x:v>47</x:v>
      </x:c>
      <x:c r="G49" s="24" t="s">
        <x:v>48</x:v>
      </x:c>
      <x:c r="H49" s="33">
        <x:v>1001</x:v>
      </x:c>
      <x:c r="I49" s="33">
        <x:v>2875613</x:v>
      </x:c>
      <x:c r="J49" s="24"/>
      <x:c r="K49" s="52"/>
      <x:c r="L49" s="52"/>
      <x:c r="M49" s="52"/>
      <x:c r="N49" s="55"/>
      <x:c r="O49" s="59" t="str">
        <x:f t="shared" si="2"/>
      </x:c>
      <x:c r="P49" s="60" t="str">
        <x:f t="shared" si="3"/>
      </x:c>
      <x:c r="Q49" s="63"/>
      <x:c r="R49" s="64"/>
      <x:c r="S49" s="65" t="str">
        <x:f>IF(OR(Q49="",R49=""),"",IF(R49="invalid",0,--(Q49=R49)))</x:f>
      </x:c>
      <x:c r="T49" s="65" t="str">
        <x:f>IF(OR(Q49="",R49=""),"",IF(R49="invalid","invalid",IF(Q49=R49,"agreement",IF(AND(Q49="no",R49="yes"),"false_accept","false_reject"))))</x:f>
      </x:c>
    </x:row>
    <x:row r="50">
      <x:c r="A50" s="24" t="s">
        <x:v>78</x:v>
      </x:c>
      <x:c r="B50" s="24" t="s">
        <x:v>11</x:v>
      </x:c>
      <x:c r="C50" s="24" t="s">
        <x:v>79</x:v>
      </x:c>
      <x:c r="D50" s="24" t="s">
        <x:v>80</x:v>
      </x:c>
      <x:c r="E50" s="24" t="s">
        <x:v>14</x:v>
      </x:c>
      <x:c r="F50" s="24" t="s">
        <x:v>15</x:v>
      </x:c>
      <x:c r="G50" s="24" t="s">
        <x:v>16</x:v>
      </x:c>
      <x:c r="H50" s="33">
        <x:v>1000</x:v>
      </x:c>
      <x:c r="I50" s="33">
        <x:v>8566257</x:v>
      </x:c>
      <x:c r="J50" s="24"/>
      <x:c r="K50" s="52"/>
      <x:c r="L50" s="52"/>
      <x:c r="M50" s="52"/>
      <x:c r="N50" s="55"/>
      <x:c r="O50" s="59" t="str">
        <x:f t="shared" si="2"/>
      </x:c>
      <x:c r="P50" s="60" t="str">
        <x:f t="shared" si="3"/>
      </x:c>
      <x:c r="Q50" s="63"/>
      <x:c r="R50" s="64"/>
      <x:c r="S50" s="65" t="str">
        <x:f>IF(OR(Q50="",R50=""),"",IF(R50="invalid",0,--(Q50=R50)))</x:f>
      </x:c>
      <x:c r="T50" s="65" t="str">
        <x:f>IF(OR(Q50="",R50=""),"",IF(R50="invalid","invalid",IF(Q50=R50,"agreement",IF(AND(Q50="no",R50="yes"),"false_accept","false_reject"))))</x:f>
      </x:c>
    </x:row>
    <x:row r="51">
      <x:c r="A51" s="24" t="s">
        <x:v>81</x:v>
      </x:c>
      <x:c r="B51" s="24" t="s">
        <x:v>11</x:v>
      </x:c>
      <x:c r="C51" s="24" t="s">
        <x:v>79</x:v>
      </x:c>
      <x:c r="D51" s="24" t="s">
        <x:v>80</x:v>
      </x:c>
      <x:c r="E51" s="24" t="s">
        <x:v>14</x:v>
      </x:c>
      <x:c r="F51" s="24" t="s">
        <x:v>15</x:v>
      </x:c>
      <x:c r="G51" s="24" t="s">
        <x:v>16</x:v>
      </x:c>
      <x:c r="H51" s="33">
        <x:v>1000</x:v>
      </x:c>
      <x:c r="I51" s="33">
        <x:v>2875613</x:v>
      </x:c>
      <x:c r="J51" s="24"/>
      <x:c r="K51" s="52"/>
      <x:c r="L51" s="52"/>
      <x:c r="M51" s="52"/>
      <x:c r="N51" s="55"/>
      <x:c r="O51" s="59" t="str">
        <x:f t="shared" si="2"/>
      </x:c>
      <x:c r="P51" s="60" t="str">
        <x:f t="shared" si="3"/>
      </x:c>
      <x:c r="Q51" s="63"/>
      <x:c r="R51" s="64"/>
      <x:c r="S51" s="65" t="str">
        <x:f>IF(OR(Q51="",R51=""),"",IF(R51="invalid",0,--(Q51=R51)))</x:f>
      </x:c>
      <x:c r="T51" s="65" t="str">
        <x:f>IF(OR(Q51="",R51=""),"",IF(R51="invalid","invalid",IF(Q51=R51,"agreement",IF(AND(Q51="no",R51="yes"),"false_accept","false_reject"))))</x:f>
      </x:c>
    </x:row>
    <x:row r="52">
      <x:c r="A52" s="24" t="s">
        <x:v>82</x:v>
      </x:c>
      <x:c r="B52" s="24" t="s">
        <x:v>11</x:v>
      </x:c>
      <x:c r="C52" s="24" t="s">
        <x:v>79</x:v>
      </x:c>
      <x:c r="D52" s="24" t="s">
        <x:v>80</x:v>
      </x:c>
      <x:c r="E52" s="24" t="s">
        <x:v>14</x:v>
      </x:c>
      <x:c r="F52" s="24" t="s">
        <x:v>15</x:v>
      </x:c>
      <x:c r="G52" s="24" t="s">
        <x:v>16</x:v>
      </x:c>
      <x:c r="H52" s="33">
        <x:v>1001</x:v>
      </x:c>
      <x:c r="I52" s="33">
        <x:v>8566257</x:v>
      </x:c>
      <x:c r="J52" s="24"/>
      <x:c r="K52" s="52"/>
      <x:c r="L52" s="52"/>
      <x:c r="M52" s="52"/>
      <x:c r="N52" s="55"/>
      <x:c r="O52" s="59" t="str">
        <x:f t="shared" si="2"/>
      </x:c>
      <x:c r="P52" s="60" t="str">
        <x:f t="shared" si="3"/>
      </x:c>
      <x:c r="Q52" s="63"/>
      <x:c r="R52" s="64"/>
      <x:c r="S52" s="65" t="str">
        <x:f>IF(OR(Q52="",R52=""),"",IF(R52="invalid",0,--(Q52=R52)))</x:f>
      </x:c>
      <x:c r="T52" s="65" t="str">
        <x:f>IF(OR(Q52="",R52=""),"",IF(R52="invalid","invalid",IF(Q52=R52,"agreement",IF(AND(Q52="no",R52="yes"),"false_accept","false_reject"))))</x:f>
      </x:c>
    </x:row>
    <x:row r="53">
      <x:c r="A53" s="24" t="s">
        <x:v>83</x:v>
      </x:c>
      <x:c r="B53" s="24" t="s">
        <x:v>11</x:v>
      </x:c>
      <x:c r="C53" s="24" t="s">
        <x:v>79</x:v>
      </x:c>
      <x:c r="D53" s="24" t="s">
        <x:v>80</x:v>
      </x:c>
      <x:c r="E53" s="24" t="s">
        <x:v>14</x:v>
      </x:c>
      <x:c r="F53" s="24" t="s">
        <x:v>15</x:v>
      </x:c>
      <x:c r="G53" s="24" t="s">
        <x:v>16</x:v>
      </x:c>
      <x:c r="H53" s="33">
        <x:v>1001</x:v>
      </x:c>
      <x:c r="I53" s="33">
        <x:v>2875613</x:v>
      </x:c>
      <x:c r="J53" s="24"/>
      <x:c r="K53" s="52"/>
      <x:c r="L53" s="52"/>
      <x:c r="M53" s="52"/>
      <x:c r="N53" s="55"/>
      <x:c r="O53" s="59" t="str">
        <x:f t="shared" si="2"/>
      </x:c>
      <x:c r="P53" s="60" t="str">
        <x:f t="shared" si="3"/>
      </x:c>
      <x:c r="Q53" s="63"/>
      <x:c r="R53" s="64"/>
      <x:c r="S53" s="65" t="str">
        <x:f>IF(OR(Q53="",R53=""),"",IF(R53="invalid",0,--(Q53=R53)))</x:f>
      </x:c>
      <x:c r="T53" s="65" t="str">
        <x:f>IF(OR(Q53="",R53=""),"",IF(R53="invalid","invalid",IF(Q53=R53,"agreement",IF(AND(Q53="no",R53="yes"),"false_accept","false_reject"))))</x:f>
      </x:c>
    </x:row>
    <x:row r="54">
      <x:c r="A54" s="24" t="s">
        <x:v>84</x:v>
      </x:c>
      <x:c r="B54" s="24" t="s">
        <x:v>11</x:v>
      </x:c>
      <x:c r="C54" s="24" t="s">
        <x:v>79</x:v>
      </x:c>
      <x:c r="D54" s="24" t="s">
        <x:v>80</x:v>
      </x:c>
      <x:c r="E54" s="24" t="s">
        <x:v>14</x:v>
      </x:c>
      <x:c r="F54" s="24" t="s">
        <x:v>21</x:v>
      </x:c>
      <x:c r="G54" s="24" t="s">
        <x:v>22</x:v>
      </x:c>
      <x:c r="H54" s="33">
        <x:v>1000</x:v>
      </x:c>
      <x:c r="I54" s="33">
        <x:v>8566257</x:v>
      </x:c>
      <x:c r="J54" s="24"/>
      <x:c r="K54" s="52"/>
      <x:c r="L54" s="52"/>
      <x:c r="M54" s="52"/>
      <x:c r="N54" s="55"/>
      <x:c r="O54" s="59" t="str">
        <x:f t="shared" si="2"/>
      </x:c>
      <x:c r="P54" s="60" t="str">
        <x:f t="shared" si="3"/>
      </x:c>
      <x:c r="Q54" s="63"/>
      <x:c r="R54" s="64"/>
      <x:c r="S54" s="65" t="str">
        <x:f>IF(OR(Q54="",R54=""),"",IF(R54="invalid",0,--(Q54=R54)))</x:f>
      </x:c>
      <x:c r="T54" s="65" t="str">
        <x:f>IF(OR(Q54="",R54=""),"",IF(R54="invalid","invalid",IF(Q54=R54,"agreement",IF(AND(Q54="no",R54="yes"),"false_accept","false_reject"))))</x:f>
      </x:c>
    </x:row>
    <x:row r="55">
      <x:c r="A55" s="24" t="s">
        <x:v>85</x:v>
      </x:c>
      <x:c r="B55" s="24" t="s">
        <x:v>11</x:v>
      </x:c>
      <x:c r="C55" s="24" t="s">
        <x:v>79</x:v>
      </x:c>
      <x:c r="D55" s="24" t="s">
        <x:v>80</x:v>
      </x:c>
      <x:c r="E55" s="24" t="s">
        <x:v>14</x:v>
      </x:c>
      <x:c r="F55" s="24" t="s">
        <x:v>21</x:v>
      </x:c>
      <x:c r="G55" s="24" t="s">
        <x:v>22</x:v>
      </x:c>
      <x:c r="H55" s="33">
        <x:v>1000</x:v>
      </x:c>
      <x:c r="I55" s="33">
        <x:v>2875613</x:v>
      </x:c>
      <x:c r="J55" s="24"/>
      <x:c r="K55" s="52"/>
      <x:c r="L55" s="52"/>
      <x:c r="M55" s="52"/>
      <x:c r="N55" s="55"/>
      <x:c r="O55" s="59" t="str">
        <x:f t="shared" si="2"/>
      </x:c>
      <x:c r="P55" s="60" t="str">
        <x:f t="shared" si="3"/>
      </x:c>
      <x:c r="Q55" s="63"/>
      <x:c r="R55" s="64"/>
      <x:c r="S55" s="65" t="str">
        <x:f>IF(OR(Q55="",R55=""),"",IF(R55="invalid",0,--(Q55=R55)))</x:f>
      </x:c>
      <x:c r="T55" s="65" t="str">
        <x:f>IF(OR(Q55="",R55=""),"",IF(R55="invalid","invalid",IF(Q55=R55,"agreement",IF(AND(Q55="no",R55="yes"),"false_accept","false_reject"))))</x:f>
      </x:c>
    </x:row>
    <x:row r="56">
      <x:c r="A56" s="24" t="s">
        <x:v>86</x:v>
      </x:c>
      <x:c r="B56" s="24" t="s">
        <x:v>11</x:v>
      </x:c>
      <x:c r="C56" s="24" t="s">
        <x:v>79</x:v>
      </x:c>
      <x:c r="D56" s="24" t="s">
        <x:v>80</x:v>
      </x:c>
      <x:c r="E56" s="24" t="s">
        <x:v>14</x:v>
      </x:c>
      <x:c r="F56" s="24" t="s">
        <x:v>21</x:v>
      </x:c>
      <x:c r="G56" s="24" t="s">
        <x:v>22</x:v>
      </x:c>
      <x:c r="H56" s="33">
        <x:v>1001</x:v>
      </x:c>
      <x:c r="I56" s="33">
        <x:v>8566257</x:v>
      </x:c>
      <x:c r="J56" s="24"/>
      <x:c r="K56" s="52"/>
      <x:c r="L56" s="52"/>
      <x:c r="M56" s="52"/>
      <x:c r="N56" s="55"/>
      <x:c r="O56" s="59" t="str">
        <x:f t="shared" si="2"/>
      </x:c>
      <x:c r="P56" s="60" t="str">
        <x:f t="shared" si="3"/>
      </x:c>
      <x:c r="Q56" s="63"/>
      <x:c r="R56" s="64"/>
      <x:c r="S56" s="65" t="str">
        <x:f>IF(OR(Q56="",R56=""),"",IF(R56="invalid",0,--(Q56=R56)))</x:f>
      </x:c>
      <x:c r="T56" s="65" t="str">
        <x:f>IF(OR(Q56="",R56=""),"",IF(R56="invalid","invalid",IF(Q56=R56,"agreement",IF(AND(Q56="no",R56="yes"),"false_accept","false_reject"))))</x:f>
      </x:c>
    </x:row>
    <x:row r="57">
      <x:c r="A57" s="24" t="s">
        <x:v>87</x:v>
      </x:c>
      <x:c r="B57" s="24" t="s">
        <x:v>11</x:v>
      </x:c>
      <x:c r="C57" s="24" t="s">
        <x:v>79</x:v>
      </x:c>
      <x:c r="D57" s="24" t="s">
        <x:v>80</x:v>
      </x:c>
      <x:c r="E57" s="24" t="s">
        <x:v>14</x:v>
      </x:c>
      <x:c r="F57" s="24" t="s">
        <x:v>21</x:v>
      </x:c>
      <x:c r="G57" s="24" t="s">
        <x:v>22</x:v>
      </x:c>
      <x:c r="H57" s="33">
        <x:v>1001</x:v>
      </x:c>
      <x:c r="I57" s="33">
        <x:v>2875613</x:v>
      </x:c>
      <x:c r="J57" s="24"/>
      <x:c r="K57" s="52"/>
      <x:c r="L57" s="52"/>
      <x:c r="M57" s="52"/>
      <x:c r="N57" s="55"/>
      <x:c r="O57" s="59" t="str">
        <x:f t="shared" si="2"/>
      </x:c>
      <x:c r="P57" s="60" t="str">
        <x:f t="shared" si="3"/>
      </x:c>
      <x:c r="Q57" s="63"/>
      <x:c r="R57" s="64"/>
      <x:c r="S57" s="65" t="str">
        <x:f>IF(OR(Q57="",R57=""),"",IF(R57="invalid",0,--(Q57=R57)))</x:f>
      </x:c>
      <x:c r="T57" s="65" t="str">
        <x:f>IF(OR(Q57="",R57=""),"",IF(R57="invalid","invalid",IF(Q57=R57,"agreement",IF(AND(Q57="no",R57="yes"),"false_accept","false_reject"))))</x:f>
      </x:c>
    </x:row>
    <x:row r="58">
      <x:c r="A58" s="24" t="s">
        <x:v>88</x:v>
      </x:c>
      <x:c r="B58" s="24" t="s">
        <x:v>11</x:v>
      </x:c>
      <x:c r="C58" s="24" t="s">
        <x:v>79</x:v>
      </x:c>
      <x:c r="D58" s="24" t="s">
        <x:v>80</x:v>
      </x:c>
      <x:c r="E58" s="24" t="s">
        <x:v>27</x:v>
      </x:c>
      <x:c r="F58" s="24" t="s">
        <x:v>28</x:v>
      </x:c>
      <x:c r="G58" s="24" t="s">
        <x:v>29</x:v>
      </x:c>
      <x:c r="H58" s="33">
        <x:v>1000</x:v>
      </x:c>
      <x:c r="I58" s="33">
        <x:v>8566257</x:v>
      </x:c>
      <x:c r="J58" s="24"/>
      <x:c r="K58" s="52"/>
      <x:c r="L58" s="52"/>
      <x:c r="M58" s="52"/>
      <x:c r="N58" s="55"/>
      <x:c r="O58" s="59" t="str">
        <x:f t="shared" si="2"/>
      </x:c>
      <x:c r="P58" s="60" t="str">
        <x:f t="shared" si="3"/>
      </x:c>
      <x:c r="Q58" s="63"/>
      <x:c r="R58" s="64"/>
      <x:c r="S58" s="65" t="str">
        <x:f>IF(OR(Q58="",R58=""),"",IF(R58="invalid",0,--(Q58=R58)))</x:f>
      </x:c>
      <x:c r="T58" s="65" t="str">
        <x:f>IF(OR(Q58="",R58=""),"",IF(R58="invalid","invalid",IF(Q58=R58,"agreement",IF(AND(Q58="no",R58="yes"),"false_accept","false_reject"))))</x:f>
      </x:c>
    </x:row>
    <x:row r="59">
      <x:c r="A59" s="24" t="s">
        <x:v>89</x:v>
      </x:c>
      <x:c r="B59" s="24" t="s">
        <x:v>11</x:v>
      </x:c>
      <x:c r="C59" s="24" t="s">
        <x:v>79</x:v>
      </x:c>
      <x:c r="D59" s="24" t="s">
        <x:v>80</x:v>
      </x:c>
      <x:c r="E59" s="24" t="s">
        <x:v>27</x:v>
      </x:c>
      <x:c r="F59" s="24" t="s">
        <x:v>28</x:v>
      </x:c>
      <x:c r="G59" s="24" t="s">
        <x:v>29</x:v>
      </x:c>
      <x:c r="H59" s="33">
        <x:v>1000</x:v>
      </x:c>
      <x:c r="I59" s="33">
        <x:v>2875613</x:v>
      </x:c>
      <x:c r="J59" s="24"/>
      <x:c r="K59" s="52"/>
      <x:c r="L59" s="52"/>
      <x:c r="M59" s="52"/>
      <x:c r="N59" s="55"/>
      <x:c r="O59" s="59" t="str">
        <x:f t="shared" si="2"/>
      </x:c>
      <x:c r="P59" s="60" t="str">
        <x:f t="shared" si="3"/>
      </x:c>
      <x:c r="Q59" s="63"/>
      <x:c r="R59" s="64"/>
      <x:c r="S59" s="65" t="str">
        <x:f>IF(OR(Q59="",R59=""),"",IF(R59="invalid",0,--(Q59=R59)))</x:f>
      </x:c>
      <x:c r="T59" s="65" t="str">
        <x:f>IF(OR(Q59="",R59=""),"",IF(R59="invalid","invalid",IF(Q59=R59,"agreement",IF(AND(Q59="no",R59="yes"),"false_accept","false_reject"))))</x:f>
      </x:c>
    </x:row>
    <x:row r="60">
      <x:c r="A60" s="24" t="s">
        <x:v>90</x:v>
      </x:c>
      <x:c r="B60" s="24" t="s">
        <x:v>11</x:v>
      </x:c>
      <x:c r="C60" s="24" t="s">
        <x:v>79</x:v>
      </x:c>
      <x:c r="D60" s="24" t="s">
        <x:v>80</x:v>
      </x:c>
      <x:c r="E60" s="24" t="s">
        <x:v>27</x:v>
      </x:c>
      <x:c r="F60" s="24" t="s">
        <x:v>28</x:v>
      </x:c>
      <x:c r="G60" s="24" t="s">
        <x:v>29</x:v>
      </x:c>
      <x:c r="H60" s="33">
        <x:v>1001</x:v>
      </x:c>
      <x:c r="I60" s="33">
        <x:v>8566257</x:v>
      </x:c>
      <x:c r="J60" s="24"/>
      <x:c r="K60" s="52"/>
      <x:c r="L60" s="52"/>
      <x:c r="M60" s="52"/>
      <x:c r="N60" s="55"/>
      <x:c r="O60" s="59" t="str">
        <x:f t="shared" si="2"/>
      </x:c>
      <x:c r="P60" s="60" t="str">
        <x:f t="shared" si="3"/>
      </x:c>
      <x:c r="Q60" s="63"/>
      <x:c r="R60" s="64"/>
      <x:c r="S60" s="65" t="str">
        <x:f>IF(OR(Q60="",R60=""),"",IF(R60="invalid",0,--(Q60=R60)))</x:f>
      </x:c>
      <x:c r="T60" s="65" t="str">
        <x:f>IF(OR(Q60="",R60=""),"",IF(R60="invalid","invalid",IF(Q60=R60,"agreement",IF(AND(Q60="no",R60="yes"),"false_accept","false_reject"))))</x:f>
      </x:c>
    </x:row>
    <x:row r="61">
      <x:c r="A61" s="24" t="s">
        <x:v>91</x:v>
      </x:c>
      <x:c r="B61" s="24" t="s">
        <x:v>11</x:v>
      </x:c>
      <x:c r="C61" s="24" t="s">
        <x:v>79</x:v>
      </x:c>
      <x:c r="D61" s="24" t="s">
        <x:v>80</x:v>
      </x:c>
      <x:c r="E61" s="24" t="s">
        <x:v>27</x:v>
      </x:c>
      <x:c r="F61" s="24" t="s">
        <x:v>28</x:v>
      </x:c>
      <x:c r="G61" s="24" t="s">
        <x:v>29</x:v>
      </x:c>
      <x:c r="H61" s="33">
        <x:v>1001</x:v>
      </x:c>
      <x:c r="I61" s="33">
        <x:v>2875613</x:v>
      </x:c>
      <x:c r="J61" s="24"/>
      <x:c r="K61" s="52"/>
      <x:c r="L61" s="52"/>
      <x:c r="M61" s="52"/>
      <x:c r="N61" s="55"/>
      <x:c r="O61" s="59" t="str">
        <x:f t="shared" si="2"/>
      </x:c>
      <x:c r="P61" s="60" t="str">
        <x:f t="shared" si="3"/>
      </x:c>
      <x:c r="Q61" s="63"/>
      <x:c r="R61" s="64"/>
      <x:c r="S61" s="65" t="str">
        <x:f>IF(OR(Q61="",R61=""),"",IF(R61="invalid",0,--(Q61=R61)))</x:f>
      </x:c>
      <x:c r="T61" s="65" t="str">
        <x:f>IF(OR(Q61="",R61=""),"",IF(R61="invalid","invalid",IF(Q61=R61,"agreement",IF(AND(Q61="no",R61="yes"),"false_accept","false_reject"))))</x:f>
      </x:c>
    </x:row>
    <x:row r="62">
      <x:c r="A62" s="24" t="s">
        <x:v>92</x:v>
      </x:c>
      <x:c r="B62" s="24" t="s">
        <x:v>11</x:v>
      </x:c>
      <x:c r="C62" s="24" t="s">
        <x:v>79</x:v>
      </x:c>
      <x:c r="D62" s="24" t="s">
        <x:v>80</x:v>
      </x:c>
      <x:c r="E62" s="24" t="s">
        <x:v>27</x:v>
      </x:c>
      <x:c r="F62" s="24" t="s">
        <x:v>34</x:v>
      </x:c>
      <x:c r="G62" s="24" t="s">
        <x:v>35</x:v>
      </x:c>
      <x:c r="H62" s="33">
        <x:v>1000</x:v>
      </x:c>
      <x:c r="I62" s="33">
        <x:v>8566257</x:v>
      </x:c>
      <x:c r="J62" s="24"/>
      <x:c r="K62" s="52"/>
      <x:c r="L62" s="52"/>
      <x:c r="M62" s="52"/>
      <x:c r="N62" s="55"/>
      <x:c r="O62" s="59" t="str">
        <x:f t="shared" si="2"/>
      </x:c>
      <x:c r="P62" s="60" t="str">
        <x:f t="shared" si="3"/>
      </x:c>
      <x:c r="Q62" s="63"/>
      <x:c r="R62" s="64"/>
      <x:c r="S62" s="65" t="str">
        <x:f>IF(OR(Q62="",R62=""),"",IF(R62="invalid",0,--(Q62=R62)))</x:f>
      </x:c>
      <x:c r="T62" s="65" t="str">
        <x:f>IF(OR(Q62="",R62=""),"",IF(R62="invalid","invalid",IF(Q62=R62,"agreement",IF(AND(Q62="no",R62="yes"),"false_accept","false_reject"))))</x:f>
      </x:c>
    </x:row>
    <x:row r="63">
      <x:c r="A63" s="24" t="s">
        <x:v>93</x:v>
      </x:c>
      <x:c r="B63" s="24" t="s">
        <x:v>11</x:v>
      </x:c>
      <x:c r="C63" s="24" t="s">
        <x:v>79</x:v>
      </x:c>
      <x:c r="D63" s="24" t="s">
        <x:v>80</x:v>
      </x:c>
      <x:c r="E63" s="24" t="s">
        <x:v>27</x:v>
      </x:c>
      <x:c r="F63" s="24" t="s">
        <x:v>34</x:v>
      </x:c>
      <x:c r="G63" s="24" t="s">
        <x:v>35</x:v>
      </x:c>
      <x:c r="H63" s="33">
        <x:v>1000</x:v>
      </x:c>
      <x:c r="I63" s="33">
        <x:v>2875613</x:v>
      </x:c>
      <x:c r="J63" s="24"/>
      <x:c r="K63" s="52"/>
      <x:c r="L63" s="52"/>
      <x:c r="M63" s="52"/>
      <x:c r="N63" s="55"/>
      <x:c r="O63" s="59" t="str">
        <x:f t="shared" si="2"/>
      </x:c>
      <x:c r="P63" s="60" t="str">
        <x:f t="shared" si="3"/>
      </x:c>
      <x:c r="Q63" s="63"/>
      <x:c r="R63" s="64"/>
      <x:c r="S63" s="65" t="str">
        <x:f>IF(OR(Q63="",R63=""),"",IF(R63="invalid",0,--(Q63=R63)))</x:f>
      </x:c>
      <x:c r="T63" s="65" t="str">
        <x:f>IF(OR(Q63="",R63=""),"",IF(R63="invalid","invalid",IF(Q63=R63,"agreement",IF(AND(Q63="no",R63="yes"),"false_accept","false_reject"))))</x:f>
      </x:c>
    </x:row>
    <x:row r="64">
      <x:c r="A64" s="24" t="s">
        <x:v>94</x:v>
      </x:c>
      <x:c r="B64" s="24" t="s">
        <x:v>11</x:v>
      </x:c>
      <x:c r="C64" s="24" t="s">
        <x:v>79</x:v>
      </x:c>
      <x:c r="D64" s="24" t="s">
        <x:v>80</x:v>
      </x:c>
      <x:c r="E64" s="24" t="s">
        <x:v>27</x:v>
      </x:c>
      <x:c r="F64" s="24" t="s">
        <x:v>34</x:v>
      </x:c>
      <x:c r="G64" s="24" t="s">
        <x:v>35</x:v>
      </x:c>
      <x:c r="H64" s="33">
        <x:v>1001</x:v>
      </x:c>
      <x:c r="I64" s="33">
        <x:v>8566257</x:v>
      </x:c>
      <x:c r="J64" s="24"/>
      <x:c r="K64" s="52"/>
      <x:c r="L64" s="52"/>
      <x:c r="M64" s="52"/>
      <x:c r="N64" s="55"/>
      <x:c r="O64" s="59" t="str">
        <x:f t="shared" si="2"/>
      </x:c>
      <x:c r="P64" s="60" t="str">
        <x:f t="shared" si="3"/>
      </x:c>
      <x:c r="Q64" s="63"/>
      <x:c r="R64" s="64"/>
      <x:c r="S64" s="65" t="str">
        <x:f>IF(OR(Q64="",R64=""),"",IF(R64="invalid",0,--(Q64=R64)))</x:f>
      </x:c>
      <x:c r="T64" s="65" t="str">
        <x:f>IF(OR(Q64="",R64=""),"",IF(R64="invalid","invalid",IF(Q64=R64,"agreement",IF(AND(Q64="no",R64="yes"),"false_accept","false_reject"))))</x:f>
      </x:c>
    </x:row>
    <x:row r="65">
      <x:c r="A65" s="24" t="s">
        <x:v>95</x:v>
      </x:c>
      <x:c r="B65" s="24" t="s">
        <x:v>11</x:v>
      </x:c>
      <x:c r="C65" s="24" t="s">
        <x:v>79</x:v>
      </x:c>
      <x:c r="D65" s="24" t="s">
        <x:v>80</x:v>
      </x:c>
      <x:c r="E65" s="24" t="s">
        <x:v>27</x:v>
      </x:c>
      <x:c r="F65" s="24" t="s">
        <x:v>34</x:v>
      </x:c>
      <x:c r="G65" s="24" t="s">
        <x:v>35</x:v>
      </x:c>
      <x:c r="H65" s="33">
        <x:v>1001</x:v>
      </x:c>
      <x:c r="I65" s="33">
        <x:v>2875613</x:v>
      </x:c>
      <x:c r="J65" s="24"/>
      <x:c r="K65" s="52"/>
      <x:c r="L65" s="52"/>
      <x:c r="M65" s="52"/>
      <x:c r="N65" s="55"/>
      <x:c r="O65" s="59" t="str">
        <x:f t="shared" si="2"/>
      </x:c>
      <x:c r="P65" s="60" t="str">
        <x:f t="shared" si="3"/>
      </x:c>
      <x:c r="Q65" s="63"/>
      <x:c r="R65" s="64"/>
      <x:c r="S65" s="65" t="str">
        <x:f>IF(OR(Q65="",R65=""),"",IF(R65="invalid",0,--(Q65=R65)))</x:f>
      </x:c>
      <x:c r="T65" s="65" t="str">
        <x:f>IF(OR(Q65="",R65=""),"",IF(R65="invalid","invalid",IF(Q65=R65,"agreement",IF(AND(Q65="no",R65="yes"),"false_accept","false_reject"))))</x:f>
      </x:c>
    </x:row>
    <x:row r="66">
      <x:c r="A66" s="24" t="s">
        <x:v>96</x:v>
      </x:c>
      <x:c r="B66" s="24" t="s">
        <x:v>11</x:v>
      </x:c>
      <x:c r="C66" s="24" t="s">
        <x:v>79</x:v>
      </x:c>
      <x:c r="D66" s="24" t="s">
        <x:v>80</x:v>
      </x:c>
      <x:c r="E66" s="24" t="s">
        <x:v>40</x:v>
      </x:c>
      <x:c r="F66" s="24" t="s">
        <x:v>41</x:v>
      </x:c>
      <x:c r="G66" s="24" t="s">
        <x:v>42</x:v>
      </x:c>
      <x:c r="H66" s="33">
        <x:v>1000</x:v>
      </x:c>
      <x:c r="I66" s="33">
        <x:v>8566257</x:v>
      </x:c>
      <x:c r="J66" s="24"/>
      <x:c r="K66" s="52"/>
      <x:c r="L66" s="52"/>
      <x:c r="M66" s="52"/>
      <x:c r="N66" s="55"/>
      <x:c r="O66" s="59" t="str">
        <x:f t="shared" ref="O66:O97" si="4">IF(OR(K66="",N66=""),"",IF(N66="invalid",0,--(K66=N66)))</x:f>
      </x:c>
      <x:c r="P66" s="60" t="str">
        <x:f t="shared" ref="P66:P97" si="5">IF(OR(K66="",N66=""),"",IF(N66="invalid","invalid",IF(K66=N66,"agreement",IF(AND(K66="no",N66="yes"),"false_accept","false_reject"))))</x:f>
      </x:c>
      <x:c r="Q66" s="63"/>
      <x:c r="R66" s="64"/>
      <x:c r="S66" s="65" t="str">
        <x:f>IF(OR(Q66="",R66=""),"",IF(R66="invalid",0,--(Q66=R66)))</x:f>
      </x:c>
      <x:c r="T66" s="65" t="str">
        <x:f>IF(OR(Q66="",R66=""),"",IF(R66="invalid","invalid",IF(Q66=R66,"agreement",IF(AND(Q66="no",R66="yes"),"false_accept","false_reject"))))</x:f>
      </x:c>
    </x:row>
    <x:row r="67">
      <x:c r="A67" s="24" t="s">
        <x:v>97</x:v>
      </x:c>
      <x:c r="B67" s="24" t="s">
        <x:v>11</x:v>
      </x:c>
      <x:c r="C67" s="24" t="s">
        <x:v>79</x:v>
      </x:c>
      <x:c r="D67" s="24" t="s">
        <x:v>80</x:v>
      </x:c>
      <x:c r="E67" s="24" t="s">
        <x:v>40</x:v>
      </x:c>
      <x:c r="F67" s="24" t="s">
        <x:v>41</x:v>
      </x:c>
      <x:c r="G67" s="24" t="s">
        <x:v>42</x:v>
      </x:c>
      <x:c r="H67" s="33">
        <x:v>1000</x:v>
      </x:c>
      <x:c r="I67" s="33">
        <x:v>2875613</x:v>
      </x:c>
      <x:c r="J67" s="24"/>
      <x:c r="K67" s="52"/>
      <x:c r="L67" s="52"/>
      <x:c r="M67" s="52"/>
      <x:c r="N67" s="55"/>
      <x:c r="O67" s="59" t="str">
        <x:f t="shared" si="4"/>
      </x:c>
      <x:c r="P67" s="60" t="str">
        <x:f t="shared" si="5"/>
      </x:c>
      <x:c r="Q67" s="63"/>
      <x:c r="R67" s="64"/>
      <x:c r="S67" s="65" t="str">
        <x:f>IF(OR(Q67="",R67=""),"",IF(R67="invalid",0,--(Q67=R67)))</x:f>
      </x:c>
      <x:c r="T67" s="65" t="str">
        <x:f>IF(OR(Q67="",R67=""),"",IF(R67="invalid","invalid",IF(Q67=R67,"agreement",IF(AND(Q67="no",R67="yes"),"false_accept","false_reject"))))</x:f>
      </x:c>
    </x:row>
    <x:row r="68">
      <x:c r="A68" s="24" t="s">
        <x:v>98</x:v>
      </x:c>
      <x:c r="B68" s="24" t="s">
        <x:v>11</x:v>
      </x:c>
      <x:c r="C68" s="24" t="s">
        <x:v>79</x:v>
      </x:c>
      <x:c r="D68" s="24" t="s">
        <x:v>80</x:v>
      </x:c>
      <x:c r="E68" s="24" t="s">
        <x:v>40</x:v>
      </x:c>
      <x:c r="F68" s="24" t="s">
        <x:v>41</x:v>
      </x:c>
      <x:c r="G68" s="24" t="s">
        <x:v>42</x:v>
      </x:c>
      <x:c r="H68" s="33">
        <x:v>1001</x:v>
      </x:c>
      <x:c r="I68" s="33">
        <x:v>8566257</x:v>
      </x:c>
      <x:c r="J68" s="24"/>
      <x:c r="K68" s="52"/>
      <x:c r="L68" s="52"/>
      <x:c r="M68" s="52"/>
      <x:c r="N68" s="55"/>
      <x:c r="O68" s="59" t="str">
        <x:f t="shared" si="4"/>
      </x:c>
      <x:c r="P68" s="60" t="str">
        <x:f t="shared" si="5"/>
      </x:c>
      <x:c r="Q68" s="63"/>
      <x:c r="R68" s="64"/>
      <x:c r="S68" s="65" t="str">
        <x:f>IF(OR(Q68="",R68=""),"",IF(R68="invalid",0,--(Q68=R68)))</x:f>
      </x:c>
      <x:c r="T68" s="65" t="str">
        <x:f>IF(OR(Q68="",R68=""),"",IF(R68="invalid","invalid",IF(Q68=R68,"agreement",IF(AND(Q68="no",R68="yes"),"false_accept","false_reject"))))</x:f>
      </x:c>
    </x:row>
    <x:row r="69">
      <x:c r="A69" s="24" t="s">
        <x:v>99</x:v>
      </x:c>
      <x:c r="B69" s="24" t="s">
        <x:v>11</x:v>
      </x:c>
      <x:c r="C69" s="24" t="s">
        <x:v>79</x:v>
      </x:c>
      <x:c r="D69" s="24" t="s">
        <x:v>80</x:v>
      </x:c>
      <x:c r="E69" s="24" t="s">
        <x:v>40</x:v>
      </x:c>
      <x:c r="F69" s="24" t="s">
        <x:v>41</x:v>
      </x:c>
      <x:c r="G69" s="24" t="s">
        <x:v>42</x:v>
      </x:c>
      <x:c r="H69" s="33">
        <x:v>1001</x:v>
      </x:c>
      <x:c r="I69" s="33">
        <x:v>2875613</x:v>
      </x:c>
      <x:c r="J69" s="24"/>
      <x:c r="K69" s="52"/>
      <x:c r="L69" s="52"/>
      <x:c r="M69" s="52"/>
      <x:c r="N69" s="55"/>
      <x:c r="O69" s="59" t="str">
        <x:f t="shared" si="4"/>
      </x:c>
      <x:c r="P69" s="60" t="str">
        <x:f t="shared" si="5"/>
      </x:c>
      <x:c r="Q69" s="63"/>
      <x:c r="R69" s="64"/>
      <x:c r="S69" s="65" t="str">
        <x:f>IF(OR(Q69="",R69=""),"",IF(R69="invalid",0,--(Q69=R69)))</x:f>
      </x:c>
      <x:c r="T69" s="65" t="str">
        <x:f>IF(OR(Q69="",R69=""),"",IF(R69="invalid","invalid",IF(Q69=R69,"agreement",IF(AND(Q69="no",R69="yes"),"false_accept","false_reject"))))</x:f>
      </x:c>
    </x:row>
    <x:row r="70">
      <x:c r="A70" s="24" t="s">
        <x:v>100</x:v>
      </x:c>
      <x:c r="B70" s="24" t="s">
        <x:v>11</x:v>
      </x:c>
      <x:c r="C70" s="24" t="s">
        <x:v>79</x:v>
      </x:c>
      <x:c r="D70" s="24" t="s">
        <x:v>80</x:v>
      </x:c>
      <x:c r="E70" s="24" t="s">
        <x:v>40</x:v>
      </x:c>
      <x:c r="F70" s="24" t="s">
        <x:v>47</x:v>
      </x:c>
      <x:c r="G70" s="24" t="s">
        <x:v>48</x:v>
      </x:c>
      <x:c r="H70" s="33">
        <x:v>1000</x:v>
      </x:c>
      <x:c r="I70" s="33">
        <x:v>8566257</x:v>
      </x:c>
      <x:c r="J70" s="24"/>
      <x:c r="K70" s="52"/>
      <x:c r="L70" s="52"/>
      <x:c r="M70" s="52"/>
      <x:c r="N70" s="55"/>
      <x:c r="O70" s="59" t="str">
        <x:f t="shared" si="4"/>
      </x:c>
      <x:c r="P70" s="60" t="str">
        <x:f t="shared" si="5"/>
      </x:c>
      <x:c r="Q70" s="63"/>
      <x:c r="R70" s="64"/>
      <x:c r="S70" s="65" t="str">
        <x:f>IF(OR(Q70="",R70=""),"",IF(R70="invalid",0,--(Q70=R70)))</x:f>
      </x:c>
      <x:c r="T70" s="65" t="str">
        <x:f>IF(OR(Q70="",R70=""),"",IF(R70="invalid","invalid",IF(Q70=R70,"agreement",IF(AND(Q70="no",R70="yes"),"false_accept","false_reject"))))</x:f>
      </x:c>
    </x:row>
    <x:row r="71">
      <x:c r="A71" s="24" t="s">
        <x:v>101</x:v>
      </x:c>
      <x:c r="B71" s="24" t="s">
        <x:v>11</x:v>
      </x:c>
      <x:c r="C71" s="24" t="s">
        <x:v>79</x:v>
      </x:c>
      <x:c r="D71" s="24" t="s">
        <x:v>80</x:v>
      </x:c>
      <x:c r="E71" s="24" t="s">
        <x:v>40</x:v>
      </x:c>
      <x:c r="F71" s="24" t="s">
        <x:v>47</x:v>
      </x:c>
      <x:c r="G71" s="24" t="s">
        <x:v>48</x:v>
      </x:c>
      <x:c r="H71" s="33">
        <x:v>1000</x:v>
      </x:c>
      <x:c r="I71" s="33">
        <x:v>2875613</x:v>
      </x:c>
      <x:c r="J71" s="24"/>
      <x:c r="K71" s="52"/>
      <x:c r="L71" s="52"/>
      <x:c r="M71" s="52"/>
      <x:c r="N71" s="55"/>
      <x:c r="O71" s="59" t="str">
        <x:f t="shared" si="4"/>
      </x:c>
      <x:c r="P71" s="60" t="str">
        <x:f t="shared" si="5"/>
      </x:c>
      <x:c r="Q71" s="63"/>
      <x:c r="R71" s="64"/>
      <x:c r="S71" s="65" t="str">
        <x:f>IF(OR(Q71="",R71=""),"",IF(R71="invalid",0,--(Q71=R71)))</x:f>
      </x:c>
      <x:c r="T71" s="65" t="str">
        <x:f>IF(OR(Q71="",R71=""),"",IF(R71="invalid","invalid",IF(Q71=R71,"agreement",IF(AND(Q71="no",R71="yes"),"false_accept","false_reject"))))</x:f>
      </x:c>
    </x:row>
    <x:row r="72">
      <x:c r="A72" s="24" t="s">
        <x:v>102</x:v>
      </x:c>
      <x:c r="B72" s="24" t="s">
        <x:v>11</x:v>
      </x:c>
      <x:c r="C72" s="24" t="s">
        <x:v>79</x:v>
      </x:c>
      <x:c r="D72" s="24" t="s">
        <x:v>80</x:v>
      </x:c>
      <x:c r="E72" s="24" t="s">
        <x:v>40</x:v>
      </x:c>
      <x:c r="F72" s="24" t="s">
        <x:v>47</x:v>
      </x:c>
      <x:c r="G72" s="24" t="s">
        <x:v>48</x:v>
      </x:c>
      <x:c r="H72" s="33">
        <x:v>1001</x:v>
      </x:c>
      <x:c r="I72" s="33">
        <x:v>8566257</x:v>
      </x:c>
      <x:c r="J72" s="24"/>
      <x:c r="K72" s="52"/>
      <x:c r="L72" s="52"/>
      <x:c r="M72" s="52"/>
      <x:c r="N72" s="55"/>
      <x:c r="O72" s="59" t="str">
        <x:f t="shared" si="4"/>
      </x:c>
      <x:c r="P72" s="60" t="str">
        <x:f t="shared" si="5"/>
      </x:c>
      <x:c r="Q72" s="63"/>
      <x:c r="R72" s="64"/>
      <x:c r="S72" s="65" t="str">
        <x:f>IF(OR(Q72="",R72=""),"",IF(R72="invalid",0,--(Q72=R72)))</x:f>
      </x:c>
      <x:c r="T72" s="65" t="str">
        <x:f>IF(OR(Q72="",R72=""),"",IF(R72="invalid","invalid",IF(Q72=R72,"agreement",IF(AND(Q72="no",R72="yes"),"false_accept","false_reject"))))</x:f>
      </x:c>
    </x:row>
    <x:row r="73">
      <x:c r="A73" s="24" t="s">
        <x:v>103</x:v>
      </x:c>
      <x:c r="B73" s="24" t="s">
        <x:v>11</x:v>
      </x:c>
      <x:c r="C73" s="24" t="s">
        <x:v>79</x:v>
      </x:c>
      <x:c r="D73" s="24" t="s">
        <x:v>80</x:v>
      </x:c>
      <x:c r="E73" s="24" t="s">
        <x:v>40</x:v>
      </x:c>
      <x:c r="F73" s="24" t="s">
        <x:v>47</x:v>
      </x:c>
      <x:c r="G73" s="24" t="s">
        <x:v>48</x:v>
      </x:c>
      <x:c r="H73" s="33">
        <x:v>1001</x:v>
      </x:c>
      <x:c r="I73" s="33">
        <x:v>2875613</x:v>
      </x:c>
      <x:c r="J73" s="24"/>
      <x:c r="K73" s="52"/>
      <x:c r="L73" s="52"/>
      <x:c r="M73" s="52"/>
      <x:c r="N73" s="55"/>
      <x:c r="O73" s="59" t="str">
        <x:f t="shared" si="4"/>
      </x:c>
      <x:c r="P73" s="60" t="str">
        <x:f t="shared" si="5"/>
      </x:c>
      <x:c r="Q73" s="63"/>
      <x:c r="R73" s="64"/>
      <x:c r="S73" s="65" t="str">
        <x:f>IF(OR(Q73="",R73=""),"",IF(R73="invalid",0,--(Q73=R73)))</x:f>
      </x:c>
      <x:c r="T73" s="65" t="str">
        <x:f>IF(OR(Q73="",R73=""),"",IF(R73="invalid","invalid",IF(Q73=R73,"agreement",IF(AND(Q73="no",R73="yes"),"false_accept","false_reject"))))</x:f>
      </x:c>
    </x:row>
    <x:row r="74">
      <x:c r="A74" s="24" t="s">
        <x:v>104</x:v>
      </x:c>
      <x:c r="B74" s="24" t="s">
        <x:v>11</x:v>
      </x:c>
      <x:c r="C74" s="24" t="s">
        <x:v>105</x:v>
      </x:c>
      <x:c r="D74" s="24" t="s">
        <x:v>106</x:v>
      </x:c>
      <x:c r="E74" s="24" t="s">
        <x:v>14</x:v>
      </x:c>
      <x:c r="F74" s="24" t="s">
        <x:v>15</x:v>
      </x:c>
      <x:c r="G74" s="24" t="s">
        <x:v>16</x:v>
      </x:c>
      <x:c r="H74" s="33">
        <x:v>1000</x:v>
      </x:c>
      <x:c r="I74" s="33">
        <x:v>8566257</x:v>
      </x:c>
      <x:c r="J74" s="24"/>
      <x:c r="K74" s="52"/>
      <x:c r="L74" s="52"/>
      <x:c r="M74" s="52"/>
      <x:c r="N74" s="55"/>
      <x:c r="O74" s="59" t="str">
        <x:f t="shared" si="4"/>
      </x:c>
      <x:c r="P74" s="60" t="str">
        <x:f t="shared" si="5"/>
      </x:c>
      <x:c r="Q74" s="63"/>
      <x:c r="R74" s="64"/>
      <x:c r="S74" s="65" t="str">
        <x:f>IF(OR(Q74="",R74=""),"",IF(R74="invalid",0,--(Q74=R74)))</x:f>
      </x:c>
      <x:c r="T74" s="65" t="str">
        <x:f>IF(OR(Q74="",R74=""),"",IF(R74="invalid","invalid",IF(Q74=R74,"agreement",IF(AND(Q74="no",R74="yes"),"false_accept","false_reject"))))</x:f>
      </x:c>
    </x:row>
    <x:row r="75">
      <x:c r="A75" s="24" t="s">
        <x:v>107</x:v>
      </x:c>
      <x:c r="B75" s="24" t="s">
        <x:v>11</x:v>
      </x:c>
      <x:c r="C75" s="24" t="s">
        <x:v>105</x:v>
      </x:c>
      <x:c r="D75" s="24" t="s">
        <x:v>106</x:v>
      </x:c>
      <x:c r="E75" s="24" t="s">
        <x:v>14</x:v>
      </x:c>
      <x:c r="F75" s="24" t="s">
        <x:v>15</x:v>
      </x:c>
      <x:c r="G75" s="24" t="s">
        <x:v>16</x:v>
      </x:c>
      <x:c r="H75" s="33">
        <x:v>1000</x:v>
      </x:c>
      <x:c r="I75" s="33">
        <x:v>2875613</x:v>
      </x:c>
      <x:c r="J75" s="24"/>
      <x:c r="K75" s="52"/>
      <x:c r="L75" s="52"/>
      <x:c r="M75" s="52"/>
      <x:c r="N75" s="55"/>
      <x:c r="O75" s="59" t="str">
        <x:f t="shared" si="4"/>
      </x:c>
      <x:c r="P75" s="60" t="str">
        <x:f t="shared" si="5"/>
      </x:c>
      <x:c r="Q75" s="63"/>
      <x:c r="R75" s="64"/>
      <x:c r="S75" s="65" t="str">
        <x:f>IF(OR(Q75="",R75=""),"",IF(R75="invalid",0,--(Q75=R75)))</x:f>
      </x:c>
      <x:c r="T75" s="65" t="str">
        <x:f>IF(OR(Q75="",R75=""),"",IF(R75="invalid","invalid",IF(Q75=R75,"agreement",IF(AND(Q75="no",R75="yes"),"false_accept","false_reject"))))</x:f>
      </x:c>
    </x:row>
    <x:row r="76">
      <x:c r="A76" s="24" t="s">
        <x:v>108</x:v>
      </x:c>
      <x:c r="B76" s="24" t="s">
        <x:v>11</x:v>
      </x:c>
      <x:c r="C76" s="24" t="s">
        <x:v>105</x:v>
      </x:c>
      <x:c r="D76" s="24" t="s">
        <x:v>106</x:v>
      </x:c>
      <x:c r="E76" s="24" t="s">
        <x:v>14</x:v>
      </x:c>
      <x:c r="F76" s="24" t="s">
        <x:v>15</x:v>
      </x:c>
      <x:c r="G76" s="24" t="s">
        <x:v>16</x:v>
      </x:c>
      <x:c r="H76" s="33">
        <x:v>1001</x:v>
      </x:c>
      <x:c r="I76" s="33">
        <x:v>8566257</x:v>
      </x:c>
      <x:c r="J76" s="24"/>
      <x:c r="K76" s="52"/>
      <x:c r="L76" s="52"/>
      <x:c r="M76" s="52"/>
      <x:c r="N76" s="55"/>
      <x:c r="O76" s="59" t="str">
        <x:f t="shared" si="4"/>
      </x:c>
      <x:c r="P76" s="60" t="str">
        <x:f t="shared" si="5"/>
      </x:c>
      <x:c r="Q76" s="63"/>
      <x:c r="R76" s="64"/>
      <x:c r="S76" s="65" t="str">
        <x:f>IF(OR(Q76="",R76=""),"",IF(R76="invalid",0,--(Q76=R76)))</x:f>
      </x:c>
      <x:c r="T76" s="65" t="str">
        <x:f>IF(OR(Q76="",R76=""),"",IF(R76="invalid","invalid",IF(Q76=R76,"agreement",IF(AND(Q76="no",R76="yes"),"false_accept","false_reject"))))</x:f>
      </x:c>
    </x:row>
    <x:row r="77">
      <x:c r="A77" s="24" t="s">
        <x:v>109</x:v>
      </x:c>
      <x:c r="B77" s="24" t="s">
        <x:v>11</x:v>
      </x:c>
      <x:c r="C77" s="24" t="s">
        <x:v>105</x:v>
      </x:c>
      <x:c r="D77" s="24" t="s">
        <x:v>106</x:v>
      </x:c>
      <x:c r="E77" s="24" t="s">
        <x:v>14</x:v>
      </x:c>
      <x:c r="F77" s="24" t="s">
        <x:v>15</x:v>
      </x:c>
      <x:c r="G77" s="24" t="s">
        <x:v>16</x:v>
      </x:c>
      <x:c r="H77" s="33">
        <x:v>1001</x:v>
      </x:c>
      <x:c r="I77" s="33">
        <x:v>2875613</x:v>
      </x:c>
      <x:c r="J77" s="24"/>
      <x:c r="K77" s="52"/>
      <x:c r="L77" s="52"/>
      <x:c r="M77" s="52"/>
      <x:c r="N77" s="55"/>
      <x:c r="O77" s="59" t="str">
        <x:f t="shared" si="4"/>
      </x:c>
      <x:c r="P77" s="60" t="str">
        <x:f t="shared" si="5"/>
      </x:c>
      <x:c r="Q77" s="63"/>
      <x:c r="R77" s="64"/>
      <x:c r="S77" s="65" t="str">
        <x:f>IF(OR(Q77="",R77=""),"",IF(R77="invalid",0,--(Q77=R77)))</x:f>
      </x:c>
      <x:c r="T77" s="65" t="str">
        <x:f>IF(OR(Q77="",R77=""),"",IF(R77="invalid","invalid",IF(Q77=R77,"agreement",IF(AND(Q77="no",R77="yes"),"false_accept","false_reject"))))</x:f>
      </x:c>
    </x:row>
    <x:row r="78">
      <x:c r="A78" s="24" t="s">
        <x:v>110</x:v>
      </x:c>
      <x:c r="B78" s="24" t="s">
        <x:v>11</x:v>
      </x:c>
      <x:c r="C78" s="24" t="s">
        <x:v>105</x:v>
      </x:c>
      <x:c r="D78" s="24" t="s">
        <x:v>106</x:v>
      </x:c>
      <x:c r="E78" s="24" t="s">
        <x:v>14</x:v>
      </x:c>
      <x:c r="F78" s="24" t="s">
        <x:v>21</x:v>
      </x:c>
      <x:c r="G78" s="24" t="s">
        <x:v>22</x:v>
      </x:c>
      <x:c r="H78" s="33">
        <x:v>1000</x:v>
      </x:c>
      <x:c r="I78" s="33">
        <x:v>8566257</x:v>
      </x:c>
      <x:c r="J78" s="24"/>
      <x:c r="K78" s="52"/>
      <x:c r="L78" s="52"/>
      <x:c r="M78" s="52"/>
      <x:c r="N78" s="55"/>
      <x:c r="O78" s="59" t="str">
        <x:f t="shared" si="4"/>
      </x:c>
      <x:c r="P78" s="60" t="str">
        <x:f t="shared" si="5"/>
      </x:c>
      <x:c r="Q78" s="63"/>
      <x:c r="R78" s="64"/>
      <x:c r="S78" s="65" t="str">
        <x:f>IF(OR(Q78="",R78=""),"",IF(R78="invalid",0,--(Q78=R78)))</x:f>
      </x:c>
      <x:c r="T78" s="65" t="str">
        <x:f>IF(OR(Q78="",R78=""),"",IF(R78="invalid","invalid",IF(Q78=R78,"agreement",IF(AND(Q78="no",R78="yes"),"false_accept","false_reject"))))</x:f>
      </x:c>
    </x:row>
    <x:row r="79">
      <x:c r="A79" s="24" t="s">
        <x:v>111</x:v>
      </x:c>
      <x:c r="B79" s="24" t="s">
        <x:v>11</x:v>
      </x:c>
      <x:c r="C79" s="24" t="s">
        <x:v>105</x:v>
      </x:c>
      <x:c r="D79" s="24" t="s">
        <x:v>106</x:v>
      </x:c>
      <x:c r="E79" s="24" t="s">
        <x:v>14</x:v>
      </x:c>
      <x:c r="F79" s="24" t="s">
        <x:v>21</x:v>
      </x:c>
      <x:c r="G79" s="24" t="s">
        <x:v>22</x:v>
      </x:c>
      <x:c r="H79" s="33">
        <x:v>1000</x:v>
      </x:c>
      <x:c r="I79" s="33">
        <x:v>2875613</x:v>
      </x:c>
      <x:c r="J79" s="24"/>
      <x:c r="K79" s="52"/>
      <x:c r="L79" s="52"/>
      <x:c r="M79" s="52"/>
      <x:c r="N79" s="55"/>
      <x:c r="O79" s="59" t="str">
        <x:f t="shared" si="4"/>
      </x:c>
      <x:c r="P79" s="60" t="str">
        <x:f t="shared" si="5"/>
      </x:c>
      <x:c r="Q79" s="63"/>
      <x:c r="R79" s="64"/>
      <x:c r="S79" s="65" t="str">
        <x:f>IF(OR(Q79="",R79=""),"",IF(R79="invalid",0,--(Q79=R79)))</x:f>
      </x:c>
      <x:c r="T79" s="65" t="str">
        <x:f>IF(OR(Q79="",R79=""),"",IF(R79="invalid","invalid",IF(Q79=R79,"agreement",IF(AND(Q79="no",R79="yes"),"false_accept","false_reject"))))</x:f>
      </x:c>
    </x:row>
    <x:row r="80">
      <x:c r="A80" s="24" t="s">
        <x:v>112</x:v>
      </x:c>
      <x:c r="B80" s="24" t="s">
        <x:v>11</x:v>
      </x:c>
      <x:c r="C80" s="24" t="s">
        <x:v>105</x:v>
      </x:c>
      <x:c r="D80" s="24" t="s">
        <x:v>106</x:v>
      </x:c>
      <x:c r="E80" s="24" t="s">
        <x:v>14</x:v>
      </x:c>
      <x:c r="F80" s="24" t="s">
        <x:v>21</x:v>
      </x:c>
      <x:c r="G80" s="24" t="s">
        <x:v>22</x:v>
      </x:c>
      <x:c r="H80" s="33">
        <x:v>1001</x:v>
      </x:c>
      <x:c r="I80" s="33">
        <x:v>8566257</x:v>
      </x:c>
      <x:c r="J80" s="24"/>
      <x:c r="K80" s="52"/>
      <x:c r="L80" s="52"/>
      <x:c r="M80" s="52"/>
      <x:c r="N80" s="55"/>
      <x:c r="O80" s="59" t="str">
        <x:f t="shared" si="4"/>
      </x:c>
      <x:c r="P80" s="60" t="str">
        <x:f t="shared" si="5"/>
      </x:c>
      <x:c r="Q80" s="63"/>
      <x:c r="R80" s="64"/>
      <x:c r="S80" s="65" t="str">
        <x:f>IF(OR(Q80="",R80=""),"",IF(R80="invalid",0,--(Q80=R80)))</x:f>
      </x:c>
      <x:c r="T80" s="65" t="str">
        <x:f>IF(OR(Q80="",R80=""),"",IF(R80="invalid","invalid",IF(Q80=R80,"agreement",IF(AND(Q80="no",R80="yes"),"false_accept","false_reject"))))</x:f>
      </x:c>
    </x:row>
    <x:row r="81">
      <x:c r="A81" s="24" t="s">
        <x:v>113</x:v>
      </x:c>
      <x:c r="B81" s="24" t="s">
        <x:v>11</x:v>
      </x:c>
      <x:c r="C81" s="24" t="s">
        <x:v>105</x:v>
      </x:c>
      <x:c r="D81" s="24" t="s">
        <x:v>106</x:v>
      </x:c>
      <x:c r="E81" s="24" t="s">
        <x:v>14</x:v>
      </x:c>
      <x:c r="F81" s="24" t="s">
        <x:v>21</x:v>
      </x:c>
      <x:c r="G81" s="24" t="s">
        <x:v>22</x:v>
      </x:c>
      <x:c r="H81" s="33">
        <x:v>1001</x:v>
      </x:c>
      <x:c r="I81" s="33">
        <x:v>2875613</x:v>
      </x:c>
      <x:c r="J81" s="24"/>
      <x:c r="K81" s="52"/>
      <x:c r="L81" s="52"/>
      <x:c r="M81" s="52"/>
      <x:c r="N81" s="55"/>
      <x:c r="O81" s="59" t="str">
        <x:f t="shared" si="4"/>
      </x:c>
      <x:c r="P81" s="60" t="str">
        <x:f t="shared" si="5"/>
      </x:c>
      <x:c r="Q81" s="63"/>
      <x:c r="R81" s="64"/>
      <x:c r="S81" s="65" t="str">
        <x:f>IF(OR(Q81="",R81=""),"",IF(R81="invalid",0,--(Q81=R81)))</x:f>
      </x:c>
      <x:c r="T81" s="65" t="str">
        <x:f>IF(OR(Q81="",R81=""),"",IF(R81="invalid","invalid",IF(Q81=R81,"agreement",IF(AND(Q81="no",R81="yes"),"false_accept","false_reject"))))</x:f>
      </x:c>
    </x:row>
    <x:row r="82">
      <x:c r="A82" s="24" t="s">
        <x:v>114</x:v>
      </x:c>
      <x:c r="B82" s="24" t="s">
        <x:v>11</x:v>
      </x:c>
      <x:c r="C82" s="24" t="s">
        <x:v>105</x:v>
      </x:c>
      <x:c r="D82" s="24" t="s">
        <x:v>106</x:v>
      </x:c>
      <x:c r="E82" s="24" t="s">
        <x:v>27</x:v>
      </x:c>
      <x:c r="F82" s="24" t="s">
        <x:v>28</x:v>
      </x:c>
      <x:c r="G82" s="24" t="s">
        <x:v>29</x:v>
      </x:c>
      <x:c r="H82" s="33">
        <x:v>1000</x:v>
      </x:c>
      <x:c r="I82" s="33">
        <x:v>8566257</x:v>
      </x:c>
      <x:c r="J82" s="24"/>
      <x:c r="K82" s="52"/>
      <x:c r="L82" s="52"/>
      <x:c r="M82" s="52"/>
      <x:c r="N82" s="55"/>
      <x:c r="O82" s="59" t="str">
        <x:f t="shared" si="4"/>
      </x:c>
      <x:c r="P82" s="60" t="str">
        <x:f t="shared" si="5"/>
      </x:c>
      <x:c r="Q82" s="63"/>
      <x:c r="R82" s="64"/>
      <x:c r="S82" s="65" t="str">
        <x:f>IF(OR(Q82="",R82=""),"",IF(R82="invalid",0,--(Q82=R82)))</x:f>
      </x:c>
      <x:c r="T82" s="65" t="str">
        <x:f>IF(OR(Q82="",R82=""),"",IF(R82="invalid","invalid",IF(Q82=R82,"agreement",IF(AND(Q82="no",R82="yes"),"false_accept","false_reject"))))</x:f>
      </x:c>
    </x:row>
    <x:row r="83">
      <x:c r="A83" s="24" t="s">
        <x:v>115</x:v>
      </x:c>
      <x:c r="B83" s="24" t="s">
        <x:v>11</x:v>
      </x:c>
      <x:c r="C83" s="24" t="s">
        <x:v>105</x:v>
      </x:c>
      <x:c r="D83" s="24" t="s">
        <x:v>106</x:v>
      </x:c>
      <x:c r="E83" s="24" t="s">
        <x:v>27</x:v>
      </x:c>
      <x:c r="F83" s="24" t="s">
        <x:v>28</x:v>
      </x:c>
      <x:c r="G83" s="24" t="s">
        <x:v>29</x:v>
      </x:c>
      <x:c r="H83" s="33">
        <x:v>1000</x:v>
      </x:c>
      <x:c r="I83" s="33">
        <x:v>2875613</x:v>
      </x:c>
      <x:c r="J83" s="24"/>
      <x:c r="K83" s="52"/>
      <x:c r="L83" s="52"/>
      <x:c r="M83" s="52"/>
      <x:c r="N83" s="55"/>
      <x:c r="O83" s="59" t="str">
        <x:f t="shared" si="4"/>
      </x:c>
      <x:c r="P83" s="60" t="str">
        <x:f t="shared" si="5"/>
      </x:c>
      <x:c r="Q83" s="63"/>
      <x:c r="R83" s="64"/>
      <x:c r="S83" s="65" t="str">
        <x:f>IF(OR(Q83="",R83=""),"",IF(R83="invalid",0,--(Q83=R83)))</x:f>
      </x:c>
      <x:c r="T83" s="65" t="str">
        <x:f>IF(OR(Q83="",R83=""),"",IF(R83="invalid","invalid",IF(Q83=R83,"agreement",IF(AND(Q83="no",R83="yes"),"false_accept","false_reject"))))</x:f>
      </x:c>
    </x:row>
    <x:row r="84">
      <x:c r="A84" s="24" t="s">
        <x:v>116</x:v>
      </x:c>
      <x:c r="B84" s="24" t="s">
        <x:v>11</x:v>
      </x:c>
      <x:c r="C84" s="24" t="s">
        <x:v>105</x:v>
      </x:c>
      <x:c r="D84" s="24" t="s">
        <x:v>106</x:v>
      </x:c>
      <x:c r="E84" s="24" t="s">
        <x:v>27</x:v>
      </x:c>
      <x:c r="F84" s="24" t="s">
        <x:v>28</x:v>
      </x:c>
      <x:c r="G84" s="24" t="s">
        <x:v>29</x:v>
      </x:c>
      <x:c r="H84" s="33">
        <x:v>1001</x:v>
      </x:c>
      <x:c r="I84" s="33">
        <x:v>8566257</x:v>
      </x:c>
      <x:c r="J84" s="24"/>
      <x:c r="K84" s="52"/>
      <x:c r="L84" s="52"/>
      <x:c r="M84" s="52"/>
      <x:c r="N84" s="55"/>
      <x:c r="O84" s="59" t="str">
        <x:f t="shared" si="4"/>
      </x:c>
      <x:c r="P84" s="60" t="str">
        <x:f t="shared" si="5"/>
      </x:c>
      <x:c r="Q84" s="63"/>
      <x:c r="R84" s="64"/>
      <x:c r="S84" s="65" t="str">
        <x:f>IF(OR(Q84="",R84=""),"",IF(R84="invalid",0,--(Q84=R84)))</x:f>
      </x:c>
      <x:c r="T84" s="65" t="str">
        <x:f>IF(OR(Q84="",R84=""),"",IF(R84="invalid","invalid",IF(Q84=R84,"agreement",IF(AND(Q84="no",R84="yes"),"false_accept","false_reject"))))</x:f>
      </x:c>
    </x:row>
    <x:row r="85">
      <x:c r="A85" s="24" t="s">
        <x:v>117</x:v>
      </x:c>
      <x:c r="B85" s="24" t="s">
        <x:v>11</x:v>
      </x:c>
      <x:c r="C85" s="24" t="s">
        <x:v>105</x:v>
      </x:c>
      <x:c r="D85" s="24" t="s">
        <x:v>106</x:v>
      </x:c>
      <x:c r="E85" s="24" t="s">
        <x:v>27</x:v>
      </x:c>
      <x:c r="F85" s="24" t="s">
        <x:v>28</x:v>
      </x:c>
      <x:c r="G85" s="24" t="s">
        <x:v>29</x:v>
      </x:c>
      <x:c r="H85" s="33">
        <x:v>1001</x:v>
      </x:c>
      <x:c r="I85" s="33">
        <x:v>2875613</x:v>
      </x:c>
      <x:c r="J85" s="24"/>
      <x:c r="K85" s="52"/>
      <x:c r="L85" s="52"/>
      <x:c r="M85" s="52"/>
      <x:c r="N85" s="55"/>
      <x:c r="O85" s="59" t="str">
        <x:f t="shared" si="4"/>
      </x:c>
      <x:c r="P85" s="60" t="str">
        <x:f t="shared" si="5"/>
      </x:c>
      <x:c r="Q85" s="63"/>
      <x:c r="R85" s="64"/>
      <x:c r="S85" s="65" t="str">
        <x:f>IF(OR(Q85="",R85=""),"",IF(R85="invalid",0,--(Q85=R85)))</x:f>
      </x:c>
      <x:c r="T85" s="65" t="str">
        <x:f>IF(OR(Q85="",R85=""),"",IF(R85="invalid","invalid",IF(Q85=R85,"agreement",IF(AND(Q85="no",R85="yes"),"false_accept","false_reject"))))</x:f>
      </x:c>
    </x:row>
    <x:row r="86">
      <x:c r="A86" s="24" t="s">
        <x:v>118</x:v>
      </x:c>
      <x:c r="B86" s="24" t="s">
        <x:v>11</x:v>
      </x:c>
      <x:c r="C86" s="24" t="s">
        <x:v>105</x:v>
      </x:c>
      <x:c r="D86" s="24" t="s">
        <x:v>106</x:v>
      </x:c>
      <x:c r="E86" s="24" t="s">
        <x:v>27</x:v>
      </x:c>
      <x:c r="F86" s="24" t="s">
        <x:v>34</x:v>
      </x:c>
      <x:c r="G86" s="24" t="s">
        <x:v>35</x:v>
      </x:c>
      <x:c r="H86" s="33">
        <x:v>1000</x:v>
      </x:c>
      <x:c r="I86" s="33">
        <x:v>8566257</x:v>
      </x:c>
      <x:c r="J86" s="24"/>
      <x:c r="K86" s="52"/>
      <x:c r="L86" s="52"/>
      <x:c r="M86" s="52"/>
      <x:c r="N86" s="55"/>
      <x:c r="O86" s="59" t="str">
        <x:f t="shared" si="4"/>
      </x:c>
      <x:c r="P86" s="60" t="str">
        <x:f t="shared" si="5"/>
      </x:c>
      <x:c r="Q86" s="63"/>
      <x:c r="R86" s="64"/>
      <x:c r="S86" s="65" t="str">
        <x:f>IF(OR(Q86="",R86=""),"",IF(R86="invalid",0,--(Q86=R86)))</x:f>
      </x:c>
      <x:c r="T86" s="65" t="str">
        <x:f>IF(OR(Q86="",R86=""),"",IF(R86="invalid","invalid",IF(Q86=R86,"agreement",IF(AND(Q86="no",R86="yes"),"false_accept","false_reject"))))</x:f>
      </x:c>
    </x:row>
    <x:row r="87">
      <x:c r="A87" s="24" t="s">
        <x:v>119</x:v>
      </x:c>
      <x:c r="B87" s="24" t="s">
        <x:v>11</x:v>
      </x:c>
      <x:c r="C87" s="24" t="s">
        <x:v>105</x:v>
      </x:c>
      <x:c r="D87" s="24" t="s">
        <x:v>106</x:v>
      </x:c>
      <x:c r="E87" s="24" t="s">
        <x:v>27</x:v>
      </x:c>
      <x:c r="F87" s="24" t="s">
        <x:v>34</x:v>
      </x:c>
      <x:c r="G87" s="24" t="s">
        <x:v>35</x:v>
      </x:c>
      <x:c r="H87" s="33">
        <x:v>1000</x:v>
      </x:c>
      <x:c r="I87" s="33">
        <x:v>2875613</x:v>
      </x:c>
      <x:c r="J87" s="24"/>
      <x:c r="K87" s="52"/>
      <x:c r="L87" s="52"/>
      <x:c r="M87" s="52"/>
      <x:c r="N87" s="55"/>
      <x:c r="O87" s="59" t="str">
        <x:f t="shared" si="4"/>
      </x:c>
      <x:c r="P87" s="60" t="str">
        <x:f t="shared" si="5"/>
      </x:c>
      <x:c r="Q87" s="63"/>
      <x:c r="R87" s="64"/>
      <x:c r="S87" s="65" t="str">
        <x:f>IF(OR(Q87="",R87=""),"",IF(R87="invalid",0,--(Q87=R87)))</x:f>
      </x:c>
      <x:c r="T87" s="65" t="str">
        <x:f>IF(OR(Q87="",R87=""),"",IF(R87="invalid","invalid",IF(Q87=R87,"agreement",IF(AND(Q87="no",R87="yes"),"false_accept","false_reject"))))</x:f>
      </x:c>
    </x:row>
    <x:row r="88">
      <x:c r="A88" s="24" t="s">
        <x:v>120</x:v>
      </x:c>
      <x:c r="B88" s="24" t="s">
        <x:v>11</x:v>
      </x:c>
      <x:c r="C88" s="24" t="s">
        <x:v>105</x:v>
      </x:c>
      <x:c r="D88" s="24" t="s">
        <x:v>106</x:v>
      </x:c>
      <x:c r="E88" s="24" t="s">
        <x:v>27</x:v>
      </x:c>
      <x:c r="F88" s="24" t="s">
        <x:v>34</x:v>
      </x:c>
      <x:c r="G88" s="24" t="s">
        <x:v>35</x:v>
      </x:c>
      <x:c r="H88" s="33">
        <x:v>1001</x:v>
      </x:c>
      <x:c r="I88" s="33">
        <x:v>8566257</x:v>
      </x:c>
      <x:c r="J88" s="24"/>
      <x:c r="K88" s="52"/>
      <x:c r="L88" s="52"/>
      <x:c r="M88" s="52"/>
      <x:c r="N88" s="55"/>
      <x:c r="O88" s="59" t="str">
        <x:f t="shared" si="4"/>
      </x:c>
      <x:c r="P88" s="60" t="str">
        <x:f t="shared" si="5"/>
      </x:c>
      <x:c r="Q88" s="63"/>
      <x:c r="R88" s="64"/>
      <x:c r="S88" s="65" t="str">
        <x:f>IF(OR(Q88="",R88=""),"",IF(R88="invalid",0,--(Q88=R88)))</x:f>
      </x:c>
      <x:c r="T88" s="65" t="str">
        <x:f>IF(OR(Q88="",R88=""),"",IF(R88="invalid","invalid",IF(Q88=R88,"agreement",IF(AND(Q88="no",R88="yes"),"false_accept","false_reject"))))</x:f>
      </x:c>
    </x:row>
    <x:row r="89">
      <x:c r="A89" s="24" t="s">
        <x:v>121</x:v>
      </x:c>
      <x:c r="B89" s="24" t="s">
        <x:v>11</x:v>
      </x:c>
      <x:c r="C89" s="24" t="s">
        <x:v>105</x:v>
      </x:c>
      <x:c r="D89" s="24" t="s">
        <x:v>106</x:v>
      </x:c>
      <x:c r="E89" s="24" t="s">
        <x:v>27</x:v>
      </x:c>
      <x:c r="F89" s="24" t="s">
        <x:v>34</x:v>
      </x:c>
      <x:c r="G89" s="24" t="s">
        <x:v>35</x:v>
      </x:c>
      <x:c r="H89" s="33">
        <x:v>1001</x:v>
      </x:c>
      <x:c r="I89" s="33">
        <x:v>2875613</x:v>
      </x:c>
      <x:c r="J89" s="24"/>
      <x:c r="K89" s="52"/>
      <x:c r="L89" s="52"/>
      <x:c r="M89" s="52"/>
      <x:c r="N89" s="55"/>
      <x:c r="O89" s="59" t="str">
        <x:f t="shared" si="4"/>
      </x:c>
      <x:c r="P89" s="60" t="str">
        <x:f t="shared" si="5"/>
      </x:c>
      <x:c r="Q89" s="63"/>
      <x:c r="R89" s="64"/>
      <x:c r="S89" s="65" t="str">
        <x:f>IF(OR(Q89="",R89=""),"",IF(R89="invalid",0,--(Q89=R89)))</x:f>
      </x:c>
      <x:c r="T89" s="65" t="str">
        <x:f>IF(OR(Q89="",R89=""),"",IF(R89="invalid","invalid",IF(Q89=R89,"agreement",IF(AND(Q89="no",R89="yes"),"false_accept","false_reject"))))</x:f>
      </x:c>
    </x:row>
    <x:row r="90">
      <x:c r="A90" s="24" t="s">
        <x:v>122</x:v>
      </x:c>
      <x:c r="B90" s="24" t="s">
        <x:v>11</x:v>
      </x:c>
      <x:c r="C90" s="24" t="s">
        <x:v>105</x:v>
      </x:c>
      <x:c r="D90" s="24" t="s">
        <x:v>106</x:v>
      </x:c>
      <x:c r="E90" s="24" t="s">
        <x:v>40</x:v>
      </x:c>
      <x:c r="F90" s="24" t="s">
        <x:v>41</x:v>
      </x:c>
      <x:c r="G90" s="24" t="s">
        <x:v>42</x:v>
      </x:c>
      <x:c r="H90" s="33">
        <x:v>1000</x:v>
      </x:c>
      <x:c r="I90" s="33">
        <x:v>8566257</x:v>
      </x:c>
      <x:c r="J90" s="24"/>
      <x:c r="K90" s="52"/>
      <x:c r="L90" s="52"/>
      <x:c r="M90" s="52"/>
      <x:c r="N90" s="55"/>
      <x:c r="O90" s="59" t="str">
        <x:f t="shared" si="4"/>
      </x:c>
      <x:c r="P90" s="60" t="str">
        <x:f t="shared" si="5"/>
      </x:c>
      <x:c r="Q90" s="63"/>
      <x:c r="R90" s="64"/>
      <x:c r="S90" s="65" t="str">
        <x:f>IF(OR(Q90="",R90=""),"",IF(R90="invalid",0,--(Q90=R90)))</x:f>
      </x:c>
      <x:c r="T90" s="65" t="str">
        <x:f>IF(OR(Q90="",R90=""),"",IF(R90="invalid","invalid",IF(Q90=R90,"agreement",IF(AND(Q90="no",R90="yes"),"false_accept","false_reject"))))</x:f>
      </x:c>
    </x:row>
    <x:row r="91">
      <x:c r="A91" s="24" t="s">
        <x:v>123</x:v>
      </x:c>
      <x:c r="B91" s="24" t="s">
        <x:v>11</x:v>
      </x:c>
      <x:c r="C91" s="24" t="s">
        <x:v>105</x:v>
      </x:c>
      <x:c r="D91" s="24" t="s">
        <x:v>106</x:v>
      </x:c>
      <x:c r="E91" s="24" t="s">
        <x:v>40</x:v>
      </x:c>
      <x:c r="F91" s="24" t="s">
        <x:v>41</x:v>
      </x:c>
      <x:c r="G91" s="24" t="s">
        <x:v>42</x:v>
      </x:c>
      <x:c r="H91" s="33">
        <x:v>1000</x:v>
      </x:c>
      <x:c r="I91" s="33">
        <x:v>2875613</x:v>
      </x:c>
      <x:c r="J91" s="24"/>
      <x:c r="K91" s="52"/>
      <x:c r="L91" s="52"/>
      <x:c r="M91" s="52"/>
      <x:c r="N91" s="55"/>
      <x:c r="O91" s="59" t="str">
        <x:f t="shared" si="4"/>
      </x:c>
      <x:c r="P91" s="60" t="str">
        <x:f t="shared" si="5"/>
      </x:c>
      <x:c r="Q91" s="63"/>
      <x:c r="R91" s="64"/>
      <x:c r="S91" s="65" t="str">
        <x:f>IF(OR(Q91="",R91=""),"",IF(R91="invalid",0,--(Q91=R91)))</x:f>
      </x:c>
      <x:c r="T91" s="65" t="str">
        <x:f>IF(OR(Q91="",R91=""),"",IF(R91="invalid","invalid",IF(Q91=R91,"agreement",IF(AND(Q91="no",R91="yes"),"false_accept","false_reject"))))</x:f>
      </x:c>
    </x:row>
    <x:row r="92">
      <x:c r="A92" s="24" t="s">
        <x:v>124</x:v>
      </x:c>
      <x:c r="B92" s="24" t="s">
        <x:v>11</x:v>
      </x:c>
      <x:c r="C92" s="24" t="s">
        <x:v>105</x:v>
      </x:c>
      <x:c r="D92" s="24" t="s">
        <x:v>106</x:v>
      </x:c>
      <x:c r="E92" s="24" t="s">
        <x:v>40</x:v>
      </x:c>
      <x:c r="F92" s="24" t="s">
        <x:v>41</x:v>
      </x:c>
      <x:c r="G92" s="24" t="s">
        <x:v>42</x:v>
      </x:c>
      <x:c r="H92" s="33">
        <x:v>1001</x:v>
      </x:c>
      <x:c r="I92" s="33">
        <x:v>8566257</x:v>
      </x:c>
      <x:c r="J92" s="24"/>
      <x:c r="K92" s="52"/>
      <x:c r="L92" s="52"/>
      <x:c r="M92" s="52"/>
      <x:c r="N92" s="55"/>
      <x:c r="O92" s="59" t="str">
        <x:f t="shared" si="4"/>
      </x:c>
      <x:c r="P92" s="60" t="str">
        <x:f t="shared" si="5"/>
      </x:c>
      <x:c r="Q92" s="63"/>
      <x:c r="R92" s="64"/>
      <x:c r="S92" s="65" t="str">
        <x:f>IF(OR(Q92="",R92=""),"",IF(R92="invalid",0,--(Q92=R92)))</x:f>
      </x:c>
      <x:c r="T92" s="65" t="str">
        <x:f>IF(OR(Q92="",R92=""),"",IF(R92="invalid","invalid",IF(Q92=R92,"agreement",IF(AND(Q92="no",R92="yes"),"false_accept","false_reject"))))</x:f>
      </x:c>
    </x:row>
    <x:row r="93">
      <x:c r="A93" s="24" t="s">
        <x:v>125</x:v>
      </x:c>
      <x:c r="B93" s="24" t="s">
        <x:v>11</x:v>
      </x:c>
      <x:c r="C93" s="24" t="s">
        <x:v>105</x:v>
      </x:c>
      <x:c r="D93" s="24" t="s">
        <x:v>106</x:v>
      </x:c>
      <x:c r="E93" s="24" t="s">
        <x:v>40</x:v>
      </x:c>
      <x:c r="F93" s="24" t="s">
        <x:v>41</x:v>
      </x:c>
      <x:c r="G93" s="24" t="s">
        <x:v>42</x:v>
      </x:c>
      <x:c r="H93" s="33">
        <x:v>1001</x:v>
      </x:c>
      <x:c r="I93" s="33">
        <x:v>2875613</x:v>
      </x:c>
      <x:c r="J93" s="24"/>
      <x:c r="K93" s="52"/>
      <x:c r="L93" s="52"/>
      <x:c r="M93" s="52"/>
      <x:c r="N93" s="55"/>
      <x:c r="O93" s="59" t="str">
        <x:f t="shared" si="4"/>
      </x:c>
      <x:c r="P93" s="60" t="str">
        <x:f t="shared" si="5"/>
      </x:c>
      <x:c r="Q93" s="63"/>
      <x:c r="R93" s="64"/>
      <x:c r="S93" s="65" t="str">
        <x:f>IF(OR(Q93="",R93=""),"",IF(R93="invalid",0,--(Q93=R93)))</x:f>
      </x:c>
      <x:c r="T93" s="65" t="str">
        <x:f>IF(OR(Q93="",R93=""),"",IF(R93="invalid","invalid",IF(Q93=R93,"agreement",IF(AND(Q93="no",R93="yes"),"false_accept","false_reject"))))</x:f>
      </x:c>
    </x:row>
    <x:row r="94">
      <x:c r="A94" s="24" t="s">
        <x:v>126</x:v>
      </x:c>
      <x:c r="B94" s="24" t="s">
        <x:v>11</x:v>
      </x:c>
      <x:c r="C94" s="24" t="s">
        <x:v>105</x:v>
      </x:c>
      <x:c r="D94" s="24" t="s">
        <x:v>106</x:v>
      </x:c>
      <x:c r="E94" s="24" t="s">
        <x:v>40</x:v>
      </x:c>
      <x:c r="F94" s="24" t="s">
        <x:v>47</x:v>
      </x:c>
      <x:c r="G94" s="24" t="s">
        <x:v>48</x:v>
      </x:c>
      <x:c r="H94" s="33">
        <x:v>1000</x:v>
      </x:c>
      <x:c r="I94" s="33">
        <x:v>8566257</x:v>
      </x:c>
      <x:c r="J94" s="24"/>
      <x:c r="K94" s="52"/>
      <x:c r="L94" s="52"/>
      <x:c r="M94" s="52"/>
      <x:c r="N94" s="55"/>
      <x:c r="O94" s="59" t="str">
        <x:f t="shared" si="4"/>
      </x:c>
      <x:c r="P94" s="60" t="str">
        <x:f t="shared" si="5"/>
      </x:c>
      <x:c r="Q94" s="63"/>
      <x:c r="R94" s="64"/>
      <x:c r="S94" s="65" t="str">
        <x:f>IF(OR(Q94="",R94=""),"",IF(R94="invalid",0,--(Q94=R94)))</x:f>
      </x:c>
      <x:c r="T94" s="65" t="str">
        <x:f>IF(OR(Q94="",R94=""),"",IF(R94="invalid","invalid",IF(Q94=R94,"agreement",IF(AND(Q94="no",R94="yes"),"false_accept","false_reject"))))</x:f>
      </x:c>
    </x:row>
    <x:row r="95">
      <x:c r="A95" s="24" t="s">
        <x:v>127</x:v>
      </x:c>
      <x:c r="B95" s="24" t="s">
        <x:v>11</x:v>
      </x:c>
      <x:c r="C95" s="24" t="s">
        <x:v>105</x:v>
      </x:c>
      <x:c r="D95" s="24" t="s">
        <x:v>106</x:v>
      </x:c>
      <x:c r="E95" s="24" t="s">
        <x:v>40</x:v>
      </x:c>
      <x:c r="F95" s="24" t="s">
        <x:v>47</x:v>
      </x:c>
      <x:c r="G95" s="24" t="s">
        <x:v>48</x:v>
      </x:c>
      <x:c r="H95" s="33">
        <x:v>1000</x:v>
      </x:c>
      <x:c r="I95" s="33">
        <x:v>2875613</x:v>
      </x:c>
      <x:c r="J95" s="24"/>
      <x:c r="K95" s="52"/>
      <x:c r="L95" s="52"/>
      <x:c r="M95" s="52"/>
      <x:c r="N95" s="55"/>
      <x:c r="O95" s="59" t="str">
        <x:f t="shared" si="4"/>
      </x:c>
      <x:c r="P95" s="60" t="str">
        <x:f t="shared" si="5"/>
      </x:c>
      <x:c r="Q95" s="63"/>
      <x:c r="R95" s="64"/>
      <x:c r="S95" s="65" t="str">
        <x:f>IF(OR(Q95="",R95=""),"",IF(R95="invalid",0,--(Q95=R95)))</x:f>
      </x:c>
      <x:c r="T95" s="65" t="str">
        <x:f>IF(OR(Q95="",R95=""),"",IF(R95="invalid","invalid",IF(Q95=R95,"agreement",IF(AND(Q95="no",R95="yes"),"false_accept","false_reject"))))</x:f>
      </x:c>
    </x:row>
    <x:row r="96">
      <x:c r="A96" s="24" t="s">
        <x:v>128</x:v>
      </x:c>
      <x:c r="B96" s="24" t="s">
        <x:v>11</x:v>
      </x:c>
      <x:c r="C96" s="24" t="s">
        <x:v>105</x:v>
      </x:c>
      <x:c r="D96" s="24" t="s">
        <x:v>106</x:v>
      </x:c>
      <x:c r="E96" s="24" t="s">
        <x:v>40</x:v>
      </x:c>
      <x:c r="F96" s="24" t="s">
        <x:v>47</x:v>
      </x:c>
      <x:c r="G96" s="24" t="s">
        <x:v>48</x:v>
      </x:c>
      <x:c r="H96" s="33">
        <x:v>1001</x:v>
      </x:c>
      <x:c r="I96" s="33">
        <x:v>8566257</x:v>
      </x:c>
      <x:c r="J96" s="24"/>
      <x:c r="K96" s="52"/>
      <x:c r="L96" s="52"/>
      <x:c r="M96" s="52"/>
      <x:c r="N96" s="55"/>
      <x:c r="O96" s="59" t="str">
        <x:f t="shared" si="4"/>
      </x:c>
      <x:c r="P96" s="60" t="str">
        <x:f t="shared" si="5"/>
      </x:c>
      <x:c r="Q96" s="63"/>
      <x:c r="R96" s="64"/>
      <x:c r="S96" s="65" t="str">
        <x:f>IF(OR(Q96="",R96=""),"",IF(R96="invalid",0,--(Q96=R96)))</x:f>
      </x:c>
      <x:c r="T96" s="65" t="str">
        <x:f>IF(OR(Q96="",R96=""),"",IF(R96="invalid","invalid",IF(Q96=R96,"agreement",IF(AND(Q96="no",R96="yes"),"false_accept","false_reject"))))</x:f>
      </x:c>
    </x:row>
    <x:row r="97">
      <x:c r="A97" s="24" t="s">
        <x:v>129</x:v>
      </x:c>
      <x:c r="B97" s="24" t="s">
        <x:v>11</x:v>
      </x:c>
      <x:c r="C97" s="24" t="s">
        <x:v>105</x:v>
      </x:c>
      <x:c r="D97" s="24" t="s">
        <x:v>106</x:v>
      </x:c>
      <x:c r="E97" s="24" t="s">
        <x:v>40</x:v>
      </x:c>
      <x:c r="F97" s="24" t="s">
        <x:v>47</x:v>
      </x:c>
      <x:c r="G97" s="24" t="s">
        <x:v>48</x:v>
      </x:c>
      <x:c r="H97" s="33">
        <x:v>1001</x:v>
      </x:c>
      <x:c r="I97" s="33">
        <x:v>2875613</x:v>
      </x:c>
      <x:c r="J97" s="24"/>
      <x:c r="K97" s="52"/>
      <x:c r="L97" s="52"/>
      <x:c r="M97" s="52"/>
      <x:c r="N97" s="55"/>
      <x:c r="O97" s="59" t="str">
        <x:f t="shared" si="4"/>
      </x:c>
      <x:c r="P97" s="60" t="str">
        <x:f t="shared" si="5"/>
      </x:c>
      <x:c r="Q97" s="63"/>
      <x:c r="R97" s="64"/>
      <x:c r="S97" s="65" t="str">
        <x:f>IF(OR(Q97="",R97=""),"",IF(R97="invalid",0,--(Q97=R97)))</x:f>
      </x:c>
      <x:c r="T97" s="65" t="str">
        <x:f>IF(OR(Q97="",R97=""),"",IF(R97="invalid","invalid",IF(Q97=R97,"agreement",IF(AND(Q97="no",R97="yes"),"false_accept","false_reject"))))</x:f>
      </x:c>
    </x:row>
    <x:row r="98">
      <x:c r="A98" s="24" t="s">
        <x:v>130</x:v>
      </x:c>
      <x:c r="B98" s="24" t="s">
        <x:v>131</x:v>
      </x:c>
      <x:c r="C98" s="24" t="s">
        <x:v>132</x:v>
      </x:c>
      <x:c r="D98" s="24" t="s">
        <x:v>133</x:v>
      </x:c>
      <x:c r="E98" s="24" t="s">
        <x:v>14</x:v>
      </x:c>
      <x:c r="F98" s="24" t="s">
        <x:v>15</x:v>
      </x:c>
      <x:c r="G98" s="24" t="s">
        <x:v>16</x:v>
      </x:c>
      <x:c r="H98" s="33">
        <x:v>1000</x:v>
      </x:c>
      <x:c r="I98" s="33">
        <x:v>8566257</x:v>
      </x:c>
      <x:c r="J98" s="24"/>
      <x:c r="K98" s="52"/>
      <x:c r="L98" s="52"/>
      <x:c r="M98" s="52"/>
      <x:c r="N98" s="55"/>
      <x:c r="O98" s="59" t="str">
        <x:f t="shared" ref="O98:O129" si="6">IF(OR(K98="",N98=""),"",IF(N98="invalid",0,--(K98=N98)))</x:f>
      </x:c>
      <x:c r="P98" s="60" t="str">
        <x:f t="shared" ref="P98:P129" si="7">IF(OR(K98="",N98=""),"",IF(N98="invalid","invalid",IF(K98=N98,"agreement",IF(AND(K98="no",N98="yes"),"false_accept","false_reject"))))</x:f>
      </x:c>
      <x:c r="Q98" s="63"/>
      <x:c r="R98" s="64"/>
      <x:c r="S98" s="65" t="str">
        <x:f>IF(OR(Q98="",R98=""),"",IF(R98="invalid",0,--(Q98=R98)))</x:f>
      </x:c>
      <x:c r="T98" s="65" t="str">
        <x:f>IF(OR(Q98="",R98=""),"",IF(R98="invalid","invalid",IF(Q98=R98,"agreement",IF(AND(Q98="no",R98="yes"),"false_accept","false_reject"))))</x:f>
      </x:c>
    </x:row>
    <x:row r="99">
      <x:c r="A99" s="24" t="s">
        <x:v>134</x:v>
      </x:c>
      <x:c r="B99" s="24" t="s">
        <x:v>131</x:v>
      </x:c>
      <x:c r="C99" s="24" t="s">
        <x:v>132</x:v>
      </x:c>
      <x:c r="D99" s="24" t="s">
        <x:v>133</x:v>
      </x:c>
      <x:c r="E99" s="24" t="s">
        <x:v>14</x:v>
      </x:c>
      <x:c r="F99" s="24" t="s">
        <x:v>15</x:v>
      </x:c>
      <x:c r="G99" s="24" t="s">
        <x:v>16</x:v>
      </x:c>
      <x:c r="H99" s="33">
        <x:v>1000</x:v>
      </x:c>
      <x:c r="I99" s="33">
        <x:v>2875613</x:v>
      </x:c>
      <x:c r="J99" s="24"/>
      <x:c r="K99" s="52"/>
      <x:c r="L99" s="52"/>
      <x:c r="M99" s="52"/>
      <x:c r="N99" s="55"/>
      <x:c r="O99" s="59" t="str">
        <x:f t="shared" si="6"/>
      </x:c>
      <x:c r="P99" s="60" t="str">
        <x:f t="shared" si="7"/>
      </x:c>
      <x:c r="Q99" s="63"/>
      <x:c r="R99" s="64"/>
      <x:c r="S99" s="65" t="str">
        <x:f>IF(OR(Q99="",R99=""),"",IF(R99="invalid",0,--(Q99=R99)))</x:f>
      </x:c>
      <x:c r="T99" s="65" t="str">
        <x:f>IF(OR(Q99="",R99=""),"",IF(R99="invalid","invalid",IF(Q99=R99,"agreement",IF(AND(Q99="no",R99="yes"),"false_accept","false_reject"))))</x:f>
      </x:c>
    </x:row>
    <x:row r="100">
      <x:c r="A100" s="24" t="s">
        <x:v>135</x:v>
      </x:c>
      <x:c r="B100" s="24" t="s">
        <x:v>131</x:v>
      </x:c>
      <x:c r="C100" s="24" t="s">
        <x:v>132</x:v>
      </x:c>
      <x:c r="D100" s="24" t="s">
        <x:v>133</x:v>
      </x:c>
      <x:c r="E100" s="24" t="s">
        <x:v>14</x:v>
      </x:c>
      <x:c r="F100" s="24" t="s">
        <x:v>15</x:v>
      </x:c>
      <x:c r="G100" s="24" t="s">
        <x:v>16</x:v>
      </x:c>
      <x:c r="H100" s="33">
        <x:v>1001</x:v>
      </x:c>
      <x:c r="I100" s="33">
        <x:v>8566257</x:v>
      </x:c>
      <x:c r="J100" s="24"/>
      <x:c r="K100" s="52"/>
      <x:c r="L100" s="52"/>
      <x:c r="M100" s="52"/>
      <x:c r="N100" s="55"/>
      <x:c r="O100" s="59" t="str">
        <x:f t="shared" si="6"/>
      </x:c>
      <x:c r="P100" s="60" t="str">
        <x:f t="shared" si="7"/>
      </x:c>
      <x:c r="Q100" s="63"/>
      <x:c r="R100" s="64"/>
      <x:c r="S100" s="65" t="str">
        <x:f>IF(OR(Q100="",R100=""),"",IF(R100="invalid",0,--(Q100=R100)))</x:f>
      </x:c>
      <x:c r="T100" s="65" t="str">
        <x:f>IF(OR(Q100="",R100=""),"",IF(R100="invalid","invalid",IF(Q100=R100,"agreement",IF(AND(Q100="no",R100="yes"),"false_accept","false_reject"))))</x:f>
      </x:c>
    </x:row>
    <x:row r="101">
      <x:c r="A101" s="24" t="s">
        <x:v>136</x:v>
      </x:c>
      <x:c r="B101" s="24" t="s">
        <x:v>131</x:v>
      </x:c>
      <x:c r="C101" s="24" t="s">
        <x:v>132</x:v>
      </x:c>
      <x:c r="D101" s="24" t="s">
        <x:v>133</x:v>
      </x:c>
      <x:c r="E101" s="24" t="s">
        <x:v>14</x:v>
      </x:c>
      <x:c r="F101" s="24" t="s">
        <x:v>15</x:v>
      </x:c>
      <x:c r="G101" s="24" t="s">
        <x:v>16</x:v>
      </x:c>
      <x:c r="H101" s="33">
        <x:v>1001</x:v>
      </x:c>
      <x:c r="I101" s="33">
        <x:v>2875613</x:v>
      </x:c>
      <x:c r="J101" s="24"/>
      <x:c r="K101" s="52"/>
      <x:c r="L101" s="52"/>
      <x:c r="M101" s="52"/>
      <x:c r="N101" s="55"/>
      <x:c r="O101" s="59" t="str">
        <x:f t="shared" si="6"/>
      </x:c>
      <x:c r="P101" s="60" t="str">
        <x:f t="shared" si="7"/>
      </x:c>
      <x:c r="Q101" s="63"/>
      <x:c r="R101" s="64"/>
      <x:c r="S101" s="65" t="str">
        <x:f>IF(OR(Q101="",R101=""),"",IF(R101="invalid",0,--(Q101=R101)))</x:f>
      </x:c>
      <x:c r="T101" s="65" t="str">
        <x:f>IF(OR(Q101="",R101=""),"",IF(R101="invalid","invalid",IF(Q101=R101,"agreement",IF(AND(Q101="no",R101="yes"),"false_accept","false_reject"))))</x:f>
      </x:c>
    </x:row>
    <x:row r="102">
      <x:c r="A102" s="24" t="s">
        <x:v>137</x:v>
      </x:c>
      <x:c r="B102" s="24" t="s">
        <x:v>131</x:v>
      </x:c>
      <x:c r="C102" s="24" t="s">
        <x:v>132</x:v>
      </x:c>
      <x:c r="D102" s="24" t="s">
        <x:v>133</x:v>
      </x:c>
      <x:c r="E102" s="24" t="s">
        <x:v>14</x:v>
      </x:c>
      <x:c r="F102" s="24" t="s">
        <x:v>21</x:v>
      </x:c>
      <x:c r="G102" s="24" t="s">
        <x:v>22</x:v>
      </x:c>
      <x:c r="H102" s="33">
        <x:v>1000</x:v>
      </x:c>
      <x:c r="I102" s="33">
        <x:v>8566257</x:v>
      </x:c>
      <x:c r="J102" s="24"/>
      <x:c r="K102" s="52"/>
      <x:c r="L102" s="52"/>
      <x:c r="M102" s="52"/>
      <x:c r="N102" s="55"/>
      <x:c r="O102" s="59" t="str">
        <x:f t="shared" si="6"/>
      </x:c>
      <x:c r="P102" s="60" t="str">
        <x:f t="shared" si="7"/>
      </x:c>
      <x:c r="Q102" s="63"/>
      <x:c r="R102" s="64"/>
      <x:c r="S102" s="65" t="str">
        <x:f>IF(OR(Q102="",R102=""),"",IF(R102="invalid",0,--(Q102=R102)))</x:f>
      </x:c>
      <x:c r="T102" s="65" t="str">
        <x:f>IF(OR(Q102="",R102=""),"",IF(R102="invalid","invalid",IF(Q102=R102,"agreement",IF(AND(Q102="no",R102="yes"),"false_accept","false_reject"))))</x:f>
      </x:c>
    </x:row>
    <x:row r="103">
      <x:c r="A103" s="24" t="s">
        <x:v>138</x:v>
      </x:c>
      <x:c r="B103" s="24" t="s">
        <x:v>131</x:v>
      </x:c>
      <x:c r="C103" s="24" t="s">
        <x:v>132</x:v>
      </x:c>
      <x:c r="D103" s="24" t="s">
        <x:v>133</x:v>
      </x:c>
      <x:c r="E103" s="24" t="s">
        <x:v>14</x:v>
      </x:c>
      <x:c r="F103" s="24" t="s">
        <x:v>21</x:v>
      </x:c>
      <x:c r="G103" s="24" t="s">
        <x:v>22</x:v>
      </x:c>
      <x:c r="H103" s="33">
        <x:v>1000</x:v>
      </x:c>
      <x:c r="I103" s="33">
        <x:v>2875613</x:v>
      </x:c>
      <x:c r="J103" s="24"/>
      <x:c r="K103" s="52"/>
      <x:c r="L103" s="52"/>
      <x:c r="M103" s="52"/>
      <x:c r="N103" s="55"/>
      <x:c r="O103" s="59" t="str">
        <x:f t="shared" si="6"/>
      </x:c>
      <x:c r="P103" s="60" t="str">
        <x:f t="shared" si="7"/>
      </x:c>
      <x:c r="Q103" s="63"/>
      <x:c r="R103" s="64"/>
      <x:c r="S103" s="65" t="str">
        <x:f>IF(OR(Q103="",R103=""),"",IF(R103="invalid",0,--(Q103=R103)))</x:f>
      </x:c>
      <x:c r="T103" s="65" t="str">
        <x:f>IF(OR(Q103="",R103=""),"",IF(R103="invalid","invalid",IF(Q103=R103,"agreement",IF(AND(Q103="no",R103="yes"),"false_accept","false_reject"))))</x:f>
      </x:c>
    </x:row>
    <x:row r="104">
      <x:c r="A104" s="24" t="s">
        <x:v>139</x:v>
      </x:c>
      <x:c r="B104" s="24" t="s">
        <x:v>131</x:v>
      </x:c>
      <x:c r="C104" s="24" t="s">
        <x:v>132</x:v>
      </x:c>
      <x:c r="D104" s="24" t="s">
        <x:v>133</x:v>
      </x:c>
      <x:c r="E104" s="24" t="s">
        <x:v>14</x:v>
      </x:c>
      <x:c r="F104" s="24" t="s">
        <x:v>21</x:v>
      </x:c>
      <x:c r="G104" s="24" t="s">
        <x:v>22</x:v>
      </x:c>
      <x:c r="H104" s="33">
        <x:v>1001</x:v>
      </x:c>
      <x:c r="I104" s="33">
        <x:v>8566257</x:v>
      </x:c>
      <x:c r="J104" s="24"/>
      <x:c r="K104" s="52"/>
      <x:c r="L104" s="52"/>
      <x:c r="M104" s="52"/>
      <x:c r="N104" s="55"/>
      <x:c r="O104" s="59" t="str">
        <x:f t="shared" si="6"/>
      </x:c>
      <x:c r="P104" s="60" t="str">
        <x:f t="shared" si="7"/>
      </x:c>
      <x:c r="Q104" s="63"/>
      <x:c r="R104" s="64"/>
      <x:c r="S104" s="65" t="str">
        <x:f>IF(OR(Q104="",R104=""),"",IF(R104="invalid",0,--(Q104=R104)))</x:f>
      </x:c>
      <x:c r="T104" s="65" t="str">
        <x:f>IF(OR(Q104="",R104=""),"",IF(R104="invalid","invalid",IF(Q104=R104,"agreement",IF(AND(Q104="no",R104="yes"),"false_accept","false_reject"))))</x:f>
      </x:c>
    </x:row>
    <x:row r="105">
      <x:c r="A105" s="24" t="s">
        <x:v>140</x:v>
      </x:c>
      <x:c r="B105" s="24" t="s">
        <x:v>131</x:v>
      </x:c>
      <x:c r="C105" s="24" t="s">
        <x:v>132</x:v>
      </x:c>
      <x:c r="D105" s="24" t="s">
        <x:v>133</x:v>
      </x:c>
      <x:c r="E105" s="24" t="s">
        <x:v>14</x:v>
      </x:c>
      <x:c r="F105" s="24" t="s">
        <x:v>21</x:v>
      </x:c>
      <x:c r="G105" s="24" t="s">
        <x:v>22</x:v>
      </x:c>
      <x:c r="H105" s="33">
        <x:v>1001</x:v>
      </x:c>
      <x:c r="I105" s="33">
        <x:v>2875613</x:v>
      </x:c>
      <x:c r="J105" s="24"/>
      <x:c r="K105" s="52"/>
      <x:c r="L105" s="52"/>
      <x:c r="M105" s="52"/>
      <x:c r="N105" s="55"/>
      <x:c r="O105" s="59" t="str">
        <x:f t="shared" si="6"/>
      </x:c>
      <x:c r="P105" s="60" t="str">
        <x:f t="shared" si="7"/>
      </x:c>
      <x:c r="Q105" s="63"/>
      <x:c r="R105" s="64"/>
      <x:c r="S105" s="65" t="str">
        <x:f>IF(OR(Q105="",R105=""),"",IF(R105="invalid",0,--(Q105=R105)))</x:f>
      </x:c>
      <x:c r="T105" s="65" t="str">
        <x:f>IF(OR(Q105="",R105=""),"",IF(R105="invalid","invalid",IF(Q105=R105,"agreement",IF(AND(Q105="no",R105="yes"),"false_accept","false_reject"))))</x:f>
      </x:c>
    </x:row>
    <x:row r="106">
      <x:c r="A106" s="24" t="s">
        <x:v>141</x:v>
      </x:c>
      <x:c r="B106" s="24" t="s">
        <x:v>131</x:v>
      </x:c>
      <x:c r="C106" s="24" t="s">
        <x:v>132</x:v>
      </x:c>
      <x:c r="D106" s="24" t="s">
        <x:v>133</x:v>
      </x:c>
      <x:c r="E106" s="24" t="s">
        <x:v>27</x:v>
      </x:c>
      <x:c r="F106" s="24" t="s">
        <x:v>28</x:v>
      </x:c>
      <x:c r="G106" s="24" t="s">
        <x:v>29</x:v>
      </x:c>
      <x:c r="H106" s="33">
        <x:v>1000</x:v>
      </x:c>
      <x:c r="I106" s="33">
        <x:v>8566257</x:v>
      </x:c>
      <x:c r="J106" s="24"/>
      <x:c r="K106" s="52"/>
      <x:c r="L106" s="52"/>
      <x:c r="M106" s="52"/>
      <x:c r="N106" s="55"/>
      <x:c r="O106" s="59" t="str">
        <x:f t="shared" si="6"/>
      </x:c>
      <x:c r="P106" s="60" t="str">
        <x:f t="shared" si="7"/>
      </x:c>
      <x:c r="Q106" s="63"/>
      <x:c r="R106" s="64"/>
      <x:c r="S106" s="65" t="str">
        <x:f>IF(OR(Q106="",R106=""),"",IF(R106="invalid",0,--(Q106=R106)))</x:f>
      </x:c>
      <x:c r="T106" s="65" t="str">
        <x:f>IF(OR(Q106="",R106=""),"",IF(R106="invalid","invalid",IF(Q106=R106,"agreement",IF(AND(Q106="no",R106="yes"),"false_accept","false_reject"))))</x:f>
      </x:c>
    </x:row>
    <x:row r="107">
      <x:c r="A107" s="24" t="s">
        <x:v>142</x:v>
      </x:c>
      <x:c r="B107" s="24" t="s">
        <x:v>131</x:v>
      </x:c>
      <x:c r="C107" s="24" t="s">
        <x:v>132</x:v>
      </x:c>
      <x:c r="D107" s="24" t="s">
        <x:v>133</x:v>
      </x:c>
      <x:c r="E107" s="24" t="s">
        <x:v>27</x:v>
      </x:c>
      <x:c r="F107" s="24" t="s">
        <x:v>28</x:v>
      </x:c>
      <x:c r="G107" s="24" t="s">
        <x:v>29</x:v>
      </x:c>
      <x:c r="H107" s="33">
        <x:v>1000</x:v>
      </x:c>
      <x:c r="I107" s="33">
        <x:v>2875613</x:v>
      </x:c>
      <x:c r="J107" s="24"/>
      <x:c r="K107" s="52"/>
      <x:c r="L107" s="52"/>
      <x:c r="M107" s="52"/>
      <x:c r="N107" s="55"/>
      <x:c r="O107" s="59" t="str">
        <x:f t="shared" si="6"/>
      </x:c>
      <x:c r="P107" s="60" t="str">
        <x:f t="shared" si="7"/>
      </x:c>
      <x:c r="Q107" s="63"/>
      <x:c r="R107" s="64"/>
      <x:c r="S107" s="65" t="str">
        <x:f>IF(OR(Q107="",R107=""),"",IF(R107="invalid",0,--(Q107=R107)))</x:f>
      </x:c>
      <x:c r="T107" s="65" t="str">
        <x:f>IF(OR(Q107="",R107=""),"",IF(R107="invalid","invalid",IF(Q107=R107,"agreement",IF(AND(Q107="no",R107="yes"),"false_accept","false_reject"))))</x:f>
      </x:c>
    </x:row>
    <x:row r="108">
      <x:c r="A108" s="24" t="s">
        <x:v>143</x:v>
      </x:c>
      <x:c r="B108" s="24" t="s">
        <x:v>131</x:v>
      </x:c>
      <x:c r="C108" s="24" t="s">
        <x:v>132</x:v>
      </x:c>
      <x:c r="D108" s="24" t="s">
        <x:v>133</x:v>
      </x:c>
      <x:c r="E108" s="24" t="s">
        <x:v>27</x:v>
      </x:c>
      <x:c r="F108" s="24" t="s">
        <x:v>28</x:v>
      </x:c>
      <x:c r="G108" s="24" t="s">
        <x:v>29</x:v>
      </x:c>
      <x:c r="H108" s="33">
        <x:v>1001</x:v>
      </x:c>
      <x:c r="I108" s="33">
        <x:v>8566257</x:v>
      </x:c>
      <x:c r="J108" s="24"/>
      <x:c r="K108" s="52"/>
      <x:c r="L108" s="52"/>
      <x:c r="M108" s="52"/>
      <x:c r="N108" s="55"/>
      <x:c r="O108" s="59" t="str">
        <x:f t="shared" si="6"/>
      </x:c>
      <x:c r="P108" s="60" t="str">
        <x:f t="shared" si="7"/>
      </x:c>
      <x:c r="Q108" s="63"/>
      <x:c r="R108" s="64"/>
      <x:c r="S108" s="65" t="str">
        <x:f>IF(OR(Q108="",R108=""),"",IF(R108="invalid",0,--(Q108=R108)))</x:f>
      </x:c>
      <x:c r="T108" s="65" t="str">
        <x:f>IF(OR(Q108="",R108=""),"",IF(R108="invalid","invalid",IF(Q108=R108,"agreement",IF(AND(Q108="no",R108="yes"),"false_accept","false_reject"))))</x:f>
      </x:c>
    </x:row>
    <x:row r="109">
      <x:c r="A109" s="24" t="s">
        <x:v>144</x:v>
      </x:c>
      <x:c r="B109" s="24" t="s">
        <x:v>131</x:v>
      </x:c>
      <x:c r="C109" s="24" t="s">
        <x:v>132</x:v>
      </x:c>
      <x:c r="D109" s="24" t="s">
        <x:v>133</x:v>
      </x:c>
      <x:c r="E109" s="24" t="s">
        <x:v>27</x:v>
      </x:c>
      <x:c r="F109" s="24" t="s">
        <x:v>28</x:v>
      </x:c>
      <x:c r="G109" s="24" t="s">
        <x:v>29</x:v>
      </x:c>
      <x:c r="H109" s="33">
        <x:v>1001</x:v>
      </x:c>
      <x:c r="I109" s="33">
        <x:v>2875613</x:v>
      </x:c>
      <x:c r="J109" s="24"/>
      <x:c r="K109" s="52"/>
      <x:c r="L109" s="52"/>
      <x:c r="M109" s="52"/>
      <x:c r="N109" s="55"/>
      <x:c r="O109" s="59" t="str">
        <x:f t="shared" si="6"/>
      </x:c>
      <x:c r="P109" s="60" t="str">
        <x:f t="shared" si="7"/>
      </x:c>
      <x:c r="Q109" s="63"/>
      <x:c r="R109" s="64"/>
      <x:c r="S109" s="65" t="str">
        <x:f>IF(OR(Q109="",R109=""),"",IF(R109="invalid",0,--(Q109=R109)))</x:f>
      </x:c>
      <x:c r="T109" s="65" t="str">
        <x:f>IF(OR(Q109="",R109=""),"",IF(R109="invalid","invalid",IF(Q109=R109,"agreement",IF(AND(Q109="no",R109="yes"),"false_accept","false_reject"))))</x:f>
      </x:c>
    </x:row>
    <x:row r="110">
      <x:c r="A110" s="24" t="s">
        <x:v>145</x:v>
      </x:c>
      <x:c r="B110" s="24" t="s">
        <x:v>131</x:v>
      </x:c>
      <x:c r="C110" s="24" t="s">
        <x:v>132</x:v>
      </x:c>
      <x:c r="D110" s="24" t="s">
        <x:v>133</x:v>
      </x:c>
      <x:c r="E110" s="24" t="s">
        <x:v>27</x:v>
      </x:c>
      <x:c r="F110" s="24" t="s">
        <x:v>34</x:v>
      </x:c>
      <x:c r="G110" s="24" t="s">
        <x:v>35</x:v>
      </x:c>
      <x:c r="H110" s="33">
        <x:v>1000</x:v>
      </x:c>
      <x:c r="I110" s="33">
        <x:v>8566257</x:v>
      </x:c>
      <x:c r="J110" s="24"/>
      <x:c r="K110" s="52"/>
      <x:c r="L110" s="52"/>
      <x:c r="M110" s="52"/>
      <x:c r="N110" s="55"/>
      <x:c r="O110" s="59" t="str">
        <x:f t="shared" si="6"/>
      </x:c>
      <x:c r="P110" s="60" t="str">
        <x:f t="shared" si="7"/>
      </x:c>
      <x:c r="Q110" s="63"/>
      <x:c r="R110" s="64"/>
      <x:c r="S110" s="65" t="str">
        <x:f>IF(OR(Q110="",R110=""),"",IF(R110="invalid",0,--(Q110=R110)))</x:f>
      </x:c>
      <x:c r="T110" s="65" t="str">
        <x:f>IF(OR(Q110="",R110=""),"",IF(R110="invalid","invalid",IF(Q110=R110,"agreement",IF(AND(Q110="no",R110="yes"),"false_accept","false_reject"))))</x:f>
      </x:c>
    </x:row>
    <x:row r="111">
      <x:c r="A111" s="24" t="s">
        <x:v>146</x:v>
      </x:c>
      <x:c r="B111" s="24" t="s">
        <x:v>131</x:v>
      </x:c>
      <x:c r="C111" s="24" t="s">
        <x:v>132</x:v>
      </x:c>
      <x:c r="D111" s="24" t="s">
        <x:v>133</x:v>
      </x:c>
      <x:c r="E111" s="24" t="s">
        <x:v>27</x:v>
      </x:c>
      <x:c r="F111" s="24" t="s">
        <x:v>34</x:v>
      </x:c>
      <x:c r="G111" s="24" t="s">
        <x:v>35</x:v>
      </x:c>
      <x:c r="H111" s="33">
        <x:v>1000</x:v>
      </x:c>
      <x:c r="I111" s="33">
        <x:v>2875613</x:v>
      </x:c>
      <x:c r="J111" s="24"/>
      <x:c r="K111" s="52"/>
      <x:c r="L111" s="52"/>
      <x:c r="M111" s="52"/>
      <x:c r="N111" s="55"/>
      <x:c r="O111" s="59" t="str">
        <x:f t="shared" si="6"/>
      </x:c>
      <x:c r="P111" s="60" t="str">
        <x:f t="shared" si="7"/>
      </x:c>
      <x:c r="Q111" s="63"/>
      <x:c r="R111" s="64"/>
      <x:c r="S111" s="65" t="str">
        <x:f>IF(OR(Q111="",R111=""),"",IF(R111="invalid",0,--(Q111=R111)))</x:f>
      </x:c>
      <x:c r="T111" s="65" t="str">
        <x:f>IF(OR(Q111="",R111=""),"",IF(R111="invalid","invalid",IF(Q111=R111,"agreement",IF(AND(Q111="no",R111="yes"),"false_accept","false_reject"))))</x:f>
      </x:c>
    </x:row>
    <x:row r="112">
      <x:c r="A112" s="24" t="s">
        <x:v>147</x:v>
      </x:c>
      <x:c r="B112" s="24" t="s">
        <x:v>131</x:v>
      </x:c>
      <x:c r="C112" s="24" t="s">
        <x:v>132</x:v>
      </x:c>
      <x:c r="D112" s="24" t="s">
        <x:v>133</x:v>
      </x:c>
      <x:c r="E112" s="24" t="s">
        <x:v>27</x:v>
      </x:c>
      <x:c r="F112" s="24" t="s">
        <x:v>34</x:v>
      </x:c>
      <x:c r="G112" s="24" t="s">
        <x:v>35</x:v>
      </x:c>
      <x:c r="H112" s="33">
        <x:v>1001</x:v>
      </x:c>
      <x:c r="I112" s="33">
        <x:v>8566257</x:v>
      </x:c>
      <x:c r="J112" s="24"/>
      <x:c r="K112" s="52"/>
      <x:c r="L112" s="52"/>
      <x:c r="M112" s="52"/>
      <x:c r="N112" s="55"/>
      <x:c r="O112" s="59" t="str">
        <x:f t="shared" si="6"/>
      </x:c>
      <x:c r="P112" s="60" t="str">
        <x:f t="shared" si="7"/>
      </x:c>
      <x:c r="Q112" s="63"/>
      <x:c r="R112" s="64"/>
      <x:c r="S112" s="65" t="str">
        <x:f>IF(OR(Q112="",R112=""),"",IF(R112="invalid",0,--(Q112=R112)))</x:f>
      </x:c>
      <x:c r="T112" s="65" t="str">
        <x:f>IF(OR(Q112="",R112=""),"",IF(R112="invalid","invalid",IF(Q112=R112,"agreement",IF(AND(Q112="no",R112="yes"),"false_accept","false_reject"))))</x:f>
      </x:c>
    </x:row>
    <x:row r="113">
      <x:c r="A113" s="24" t="s">
        <x:v>148</x:v>
      </x:c>
      <x:c r="B113" s="24" t="s">
        <x:v>131</x:v>
      </x:c>
      <x:c r="C113" s="24" t="s">
        <x:v>132</x:v>
      </x:c>
      <x:c r="D113" s="24" t="s">
        <x:v>133</x:v>
      </x:c>
      <x:c r="E113" s="24" t="s">
        <x:v>27</x:v>
      </x:c>
      <x:c r="F113" s="24" t="s">
        <x:v>34</x:v>
      </x:c>
      <x:c r="G113" s="24" t="s">
        <x:v>35</x:v>
      </x:c>
      <x:c r="H113" s="33">
        <x:v>1001</x:v>
      </x:c>
      <x:c r="I113" s="33">
        <x:v>2875613</x:v>
      </x:c>
      <x:c r="J113" s="24"/>
      <x:c r="K113" s="52"/>
      <x:c r="L113" s="52"/>
      <x:c r="M113" s="52"/>
      <x:c r="N113" s="55"/>
      <x:c r="O113" s="59" t="str">
        <x:f t="shared" si="6"/>
      </x:c>
      <x:c r="P113" s="60" t="str">
        <x:f t="shared" si="7"/>
      </x:c>
      <x:c r="Q113" s="63"/>
      <x:c r="R113" s="64"/>
      <x:c r="S113" s="65" t="str">
        <x:f>IF(OR(Q113="",R113=""),"",IF(R113="invalid",0,--(Q113=R113)))</x:f>
      </x:c>
      <x:c r="T113" s="65" t="str">
        <x:f>IF(OR(Q113="",R113=""),"",IF(R113="invalid","invalid",IF(Q113=R113,"agreement",IF(AND(Q113="no",R113="yes"),"false_accept","false_reject"))))</x:f>
      </x:c>
    </x:row>
    <x:row r="114">
      <x:c r="A114" s="24" t="s">
        <x:v>149</x:v>
      </x:c>
      <x:c r="B114" s="24" t="s">
        <x:v>131</x:v>
      </x:c>
      <x:c r="C114" s="24" t="s">
        <x:v>132</x:v>
      </x:c>
      <x:c r="D114" s="24" t="s">
        <x:v>133</x:v>
      </x:c>
      <x:c r="E114" s="24" t="s">
        <x:v>40</x:v>
      </x:c>
      <x:c r="F114" s="24" t="s">
        <x:v>41</x:v>
      </x:c>
      <x:c r="G114" s="24" t="s">
        <x:v>42</x:v>
      </x:c>
      <x:c r="H114" s="33">
        <x:v>1000</x:v>
      </x:c>
      <x:c r="I114" s="33">
        <x:v>8566257</x:v>
      </x:c>
      <x:c r="J114" s="24"/>
      <x:c r="K114" s="52"/>
      <x:c r="L114" s="52"/>
      <x:c r="M114" s="52"/>
      <x:c r="N114" s="55"/>
      <x:c r="O114" s="59" t="str">
        <x:f t="shared" si="6"/>
      </x:c>
      <x:c r="P114" s="60" t="str">
        <x:f t="shared" si="7"/>
      </x:c>
      <x:c r="Q114" s="63"/>
      <x:c r="R114" s="64"/>
      <x:c r="S114" s="65" t="str">
        <x:f>IF(OR(Q114="",R114=""),"",IF(R114="invalid",0,--(Q114=R114)))</x:f>
      </x:c>
      <x:c r="T114" s="65" t="str">
        <x:f>IF(OR(Q114="",R114=""),"",IF(R114="invalid","invalid",IF(Q114=R114,"agreement",IF(AND(Q114="no",R114="yes"),"false_accept","false_reject"))))</x:f>
      </x:c>
    </x:row>
    <x:row r="115">
      <x:c r="A115" s="24" t="s">
        <x:v>150</x:v>
      </x:c>
      <x:c r="B115" s="24" t="s">
        <x:v>131</x:v>
      </x:c>
      <x:c r="C115" s="24" t="s">
        <x:v>132</x:v>
      </x:c>
      <x:c r="D115" s="24" t="s">
        <x:v>133</x:v>
      </x:c>
      <x:c r="E115" s="24" t="s">
        <x:v>40</x:v>
      </x:c>
      <x:c r="F115" s="24" t="s">
        <x:v>41</x:v>
      </x:c>
      <x:c r="G115" s="24" t="s">
        <x:v>42</x:v>
      </x:c>
      <x:c r="H115" s="33">
        <x:v>1000</x:v>
      </x:c>
      <x:c r="I115" s="33">
        <x:v>2875613</x:v>
      </x:c>
      <x:c r="J115" s="24"/>
      <x:c r="K115" s="52"/>
      <x:c r="L115" s="52"/>
      <x:c r="M115" s="52"/>
      <x:c r="N115" s="55"/>
      <x:c r="O115" s="59" t="str">
        <x:f t="shared" si="6"/>
      </x:c>
      <x:c r="P115" s="60" t="str">
        <x:f t="shared" si="7"/>
      </x:c>
      <x:c r="Q115" s="63"/>
      <x:c r="R115" s="64"/>
      <x:c r="S115" s="65" t="str">
        <x:f>IF(OR(Q115="",R115=""),"",IF(R115="invalid",0,--(Q115=R115)))</x:f>
      </x:c>
      <x:c r="T115" s="65" t="str">
        <x:f>IF(OR(Q115="",R115=""),"",IF(R115="invalid","invalid",IF(Q115=R115,"agreement",IF(AND(Q115="no",R115="yes"),"false_accept","false_reject"))))</x:f>
      </x:c>
    </x:row>
    <x:row r="116">
      <x:c r="A116" s="24" t="s">
        <x:v>151</x:v>
      </x:c>
      <x:c r="B116" s="24" t="s">
        <x:v>131</x:v>
      </x:c>
      <x:c r="C116" s="24" t="s">
        <x:v>132</x:v>
      </x:c>
      <x:c r="D116" s="24" t="s">
        <x:v>133</x:v>
      </x:c>
      <x:c r="E116" s="24" t="s">
        <x:v>40</x:v>
      </x:c>
      <x:c r="F116" s="24" t="s">
        <x:v>41</x:v>
      </x:c>
      <x:c r="G116" s="24" t="s">
        <x:v>42</x:v>
      </x:c>
      <x:c r="H116" s="33">
        <x:v>1001</x:v>
      </x:c>
      <x:c r="I116" s="33">
        <x:v>8566257</x:v>
      </x:c>
      <x:c r="J116" s="24"/>
      <x:c r="K116" s="52"/>
      <x:c r="L116" s="52"/>
      <x:c r="M116" s="52"/>
      <x:c r="N116" s="55"/>
      <x:c r="O116" s="59" t="str">
        <x:f t="shared" si="6"/>
      </x:c>
      <x:c r="P116" s="60" t="str">
        <x:f t="shared" si="7"/>
      </x:c>
      <x:c r="Q116" s="63"/>
      <x:c r="R116" s="64"/>
      <x:c r="S116" s="65" t="str">
        <x:f>IF(OR(Q116="",R116=""),"",IF(R116="invalid",0,--(Q116=R116)))</x:f>
      </x:c>
      <x:c r="T116" s="65" t="str">
        <x:f>IF(OR(Q116="",R116=""),"",IF(R116="invalid","invalid",IF(Q116=R116,"agreement",IF(AND(Q116="no",R116="yes"),"false_accept","false_reject"))))</x:f>
      </x:c>
    </x:row>
    <x:row r="117">
      <x:c r="A117" s="24" t="s">
        <x:v>152</x:v>
      </x:c>
      <x:c r="B117" s="24" t="s">
        <x:v>131</x:v>
      </x:c>
      <x:c r="C117" s="24" t="s">
        <x:v>132</x:v>
      </x:c>
      <x:c r="D117" s="24" t="s">
        <x:v>133</x:v>
      </x:c>
      <x:c r="E117" s="24" t="s">
        <x:v>40</x:v>
      </x:c>
      <x:c r="F117" s="24" t="s">
        <x:v>41</x:v>
      </x:c>
      <x:c r="G117" s="24" t="s">
        <x:v>42</x:v>
      </x:c>
      <x:c r="H117" s="33">
        <x:v>1001</x:v>
      </x:c>
      <x:c r="I117" s="33">
        <x:v>2875613</x:v>
      </x:c>
      <x:c r="J117" s="24"/>
      <x:c r="K117" s="52"/>
      <x:c r="L117" s="52"/>
      <x:c r="M117" s="52"/>
      <x:c r="N117" s="55"/>
      <x:c r="O117" s="59" t="str">
        <x:f t="shared" si="6"/>
      </x:c>
      <x:c r="P117" s="60" t="str">
        <x:f t="shared" si="7"/>
      </x:c>
      <x:c r="Q117" s="63"/>
      <x:c r="R117" s="64"/>
      <x:c r="S117" s="65" t="str">
        <x:f>IF(OR(Q117="",R117=""),"",IF(R117="invalid",0,--(Q117=R117)))</x:f>
      </x:c>
      <x:c r="T117" s="65" t="str">
        <x:f>IF(OR(Q117="",R117=""),"",IF(R117="invalid","invalid",IF(Q117=R117,"agreement",IF(AND(Q117="no",R117="yes"),"false_accept","false_reject"))))</x:f>
      </x:c>
    </x:row>
    <x:row r="118">
      <x:c r="A118" s="24" t="s">
        <x:v>153</x:v>
      </x:c>
      <x:c r="B118" s="24" t="s">
        <x:v>131</x:v>
      </x:c>
      <x:c r="C118" s="24" t="s">
        <x:v>132</x:v>
      </x:c>
      <x:c r="D118" s="24" t="s">
        <x:v>133</x:v>
      </x:c>
      <x:c r="E118" s="24" t="s">
        <x:v>40</x:v>
      </x:c>
      <x:c r="F118" s="24" t="s">
        <x:v>47</x:v>
      </x:c>
      <x:c r="G118" s="24" t="s">
        <x:v>48</x:v>
      </x:c>
      <x:c r="H118" s="33">
        <x:v>1000</x:v>
      </x:c>
      <x:c r="I118" s="33">
        <x:v>8566257</x:v>
      </x:c>
      <x:c r="J118" s="24"/>
      <x:c r="K118" s="52"/>
      <x:c r="L118" s="52"/>
      <x:c r="M118" s="52"/>
      <x:c r="N118" s="55"/>
      <x:c r="O118" s="59" t="str">
        <x:f t="shared" si="6"/>
      </x:c>
      <x:c r="P118" s="60" t="str">
        <x:f t="shared" si="7"/>
      </x:c>
      <x:c r="Q118" s="63"/>
      <x:c r="R118" s="64"/>
      <x:c r="S118" s="65" t="str">
        <x:f>IF(OR(Q118="",R118=""),"",IF(R118="invalid",0,--(Q118=R118)))</x:f>
      </x:c>
      <x:c r="T118" s="65" t="str">
        <x:f>IF(OR(Q118="",R118=""),"",IF(R118="invalid","invalid",IF(Q118=R118,"agreement",IF(AND(Q118="no",R118="yes"),"false_accept","false_reject"))))</x:f>
      </x:c>
    </x:row>
    <x:row r="119">
      <x:c r="A119" s="24" t="s">
        <x:v>154</x:v>
      </x:c>
      <x:c r="B119" s="24" t="s">
        <x:v>131</x:v>
      </x:c>
      <x:c r="C119" s="24" t="s">
        <x:v>132</x:v>
      </x:c>
      <x:c r="D119" s="24" t="s">
        <x:v>133</x:v>
      </x:c>
      <x:c r="E119" s="24" t="s">
        <x:v>40</x:v>
      </x:c>
      <x:c r="F119" s="24" t="s">
        <x:v>47</x:v>
      </x:c>
      <x:c r="G119" s="24" t="s">
        <x:v>48</x:v>
      </x:c>
      <x:c r="H119" s="33">
        <x:v>1000</x:v>
      </x:c>
      <x:c r="I119" s="33">
        <x:v>2875613</x:v>
      </x:c>
      <x:c r="J119" s="24"/>
      <x:c r="K119" s="52"/>
      <x:c r="L119" s="52"/>
      <x:c r="M119" s="52"/>
      <x:c r="N119" s="55"/>
      <x:c r="O119" s="59" t="str">
        <x:f t="shared" si="6"/>
      </x:c>
      <x:c r="P119" s="60" t="str">
        <x:f t="shared" si="7"/>
      </x:c>
      <x:c r="Q119" s="63"/>
      <x:c r="R119" s="64"/>
      <x:c r="S119" s="65" t="str">
        <x:f>IF(OR(Q119="",R119=""),"",IF(R119="invalid",0,--(Q119=R119)))</x:f>
      </x:c>
      <x:c r="T119" s="65" t="str">
        <x:f>IF(OR(Q119="",R119=""),"",IF(R119="invalid","invalid",IF(Q119=R119,"agreement",IF(AND(Q119="no",R119="yes"),"false_accept","false_reject"))))</x:f>
      </x:c>
    </x:row>
    <x:row r="120">
      <x:c r="A120" s="24" t="s">
        <x:v>155</x:v>
      </x:c>
      <x:c r="B120" s="24" t="s">
        <x:v>131</x:v>
      </x:c>
      <x:c r="C120" s="24" t="s">
        <x:v>132</x:v>
      </x:c>
      <x:c r="D120" s="24" t="s">
        <x:v>133</x:v>
      </x:c>
      <x:c r="E120" s="24" t="s">
        <x:v>40</x:v>
      </x:c>
      <x:c r="F120" s="24" t="s">
        <x:v>47</x:v>
      </x:c>
      <x:c r="G120" s="24" t="s">
        <x:v>48</x:v>
      </x:c>
      <x:c r="H120" s="33">
        <x:v>1001</x:v>
      </x:c>
      <x:c r="I120" s="33">
        <x:v>8566257</x:v>
      </x:c>
      <x:c r="J120" s="24"/>
      <x:c r="K120" s="52"/>
      <x:c r="L120" s="52"/>
      <x:c r="M120" s="52"/>
      <x:c r="N120" s="55"/>
      <x:c r="O120" s="59" t="str">
        <x:f t="shared" si="6"/>
      </x:c>
      <x:c r="P120" s="60" t="str">
        <x:f t="shared" si="7"/>
      </x:c>
      <x:c r="Q120" s="63"/>
      <x:c r="R120" s="64"/>
      <x:c r="S120" s="65" t="str">
        <x:f>IF(OR(Q120="",R120=""),"",IF(R120="invalid",0,--(Q120=R120)))</x:f>
      </x:c>
      <x:c r="T120" s="65" t="str">
        <x:f>IF(OR(Q120="",R120=""),"",IF(R120="invalid","invalid",IF(Q120=R120,"agreement",IF(AND(Q120="no",R120="yes"),"false_accept","false_reject"))))</x:f>
      </x:c>
    </x:row>
    <x:row r="121">
      <x:c r="A121" s="24" t="s">
        <x:v>156</x:v>
      </x:c>
      <x:c r="B121" s="24" t="s">
        <x:v>131</x:v>
      </x:c>
      <x:c r="C121" s="24" t="s">
        <x:v>132</x:v>
      </x:c>
      <x:c r="D121" s="24" t="s">
        <x:v>133</x:v>
      </x:c>
      <x:c r="E121" s="24" t="s">
        <x:v>40</x:v>
      </x:c>
      <x:c r="F121" s="24" t="s">
        <x:v>47</x:v>
      </x:c>
      <x:c r="G121" s="24" t="s">
        <x:v>48</x:v>
      </x:c>
      <x:c r="H121" s="33">
        <x:v>1001</x:v>
      </x:c>
      <x:c r="I121" s="33">
        <x:v>2875613</x:v>
      </x:c>
      <x:c r="J121" s="24"/>
      <x:c r="K121" s="52"/>
      <x:c r="L121" s="52"/>
      <x:c r="M121" s="52"/>
      <x:c r="N121" s="55"/>
      <x:c r="O121" s="59" t="str">
        <x:f t="shared" si="6"/>
      </x:c>
      <x:c r="P121" s="60" t="str">
        <x:f t="shared" si="7"/>
      </x:c>
      <x:c r="Q121" s="63"/>
      <x:c r="R121" s="64"/>
      <x:c r="S121" s="65" t="str">
        <x:f>IF(OR(Q121="",R121=""),"",IF(R121="invalid",0,--(Q121=R121)))</x:f>
      </x:c>
      <x:c r="T121" s="65" t="str">
        <x:f>IF(OR(Q121="",R121=""),"",IF(R121="invalid","invalid",IF(Q121=R121,"agreement",IF(AND(Q121="no",R121="yes"),"false_accept","false_reject"))))</x:f>
      </x:c>
    </x:row>
    <x:row r="122">
      <x:c r="A122" s="24" t="s">
        <x:v>157</x:v>
      </x:c>
      <x:c r="B122" s="24" t="s">
        <x:v>131</x:v>
      </x:c>
      <x:c r="C122" s="24" t="s">
        <x:v>158</x:v>
      </x:c>
      <x:c r="D122" s="24" t="s">
        <x:v>159</x:v>
      </x:c>
      <x:c r="E122" s="24" t="s">
        <x:v>14</x:v>
      </x:c>
      <x:c r="F122" s="24" t="s">
        <x:v>15</x:v>
      </x:c>
      <x:c r="G122" s="24" t="s">
        <x:v>16</x:v>
      </x:c>
      <x:c r="H122" s="33">
        <x:v>1000</x:v>
      </x:c>
      <x:c r="I122" s="33">
        <x:v>8566257</x:v>
      </x:c>
      <x:c r="J122" s="24"/>
      <x:c r="K122" s="52"/>
      <x:c r="L122" s="52"/>
      <x:c r="M122" s="52"/>
      <x:c r="N122" s="55"/>
      <x:c r="O122" s="59" t="str">
        <x:f t="shared" si="6"/>
      </x:c>
      <x:c r="P122" s="60" t="str">
        <x:f t="shared" si="7"/>
      </x:c>
      <x:c r="Q122" s="63"/>
      <x:c r="R122" s="64"/>
      <x:c r="S122" s="65" t="str">
        <x:f>IF(OR(Q122="",R122=""),"",IF(R122="invalid",0,--(Q122=R122)))</x:f>
      </x:c>
      <x:c r="T122" s="65" t="str">
        <x:f>IF(OR(Q122="",R122=""),"",IF(R122="invalid","invalid",IF(Q122=R122,"agreement",IF(AND(Q122="no",R122="yes"),"false_accept","false_reject"))))</x:f>
      </x:c>
    </x:row>
    <x:row r="123">
      <x:c r="A123" s="24" t="s">
        <x:v>160</x:v>
      </x:c>
      <x:c r="B123" s="24" t="s">
        <x:v>131</x:v>
      </x:c>
      <x:c r="C123" s="24" t="s">
        <x:v>158</x:v>
      </x:c>
      <x:c r="D123" s="24" t="s">
        <x:v>159</x:v>
      </x:c>
      <x:c r="E123" s="24" t="s">
        <x:v>14</x:v>
      </x:c>
      <x:c r="F123" s="24" t="s">
        <x:v>15</x:v>
      </x:c>
      <x:c r="G123" s="24" t="s">
        <x:v>16</x:v>
      </x:c>
      <x:c r="H123" s="33">
        <x:v>1000</x:v>
      </x:c>
      <x:c r="I123" s="33">
        <x:v>2875613</x:v>
      </x:c>
      <x:c r="J123" s="24"/>
      <x:c r="K123" s="52"/>
      <x:c r="L123" s="52"/>
      <x:c r="M123" s="52"/>
      <x:c r="N123" s="55"/>
      <x:c r="O123" s="59" t="str">
        <x:f t="shared" si="6"/>
      </x:c>
      <x:c r="P123" s="60" t="str">
        <x:f t="shared" si="7"/>
      </x:c>
      <x:c r="Q123" s="63"/>
      <x:c r="R123" s="64"/>
      <x:c r="S123" s="65" t="str">
        <x:f>IF(OR(Q123="",R123=""),"",IF(R123="invalid",0,--(Q123=R123)))</x:f>
      </x:c>
      <x:c r="T123" s="65" t="str">
        <x:f>IF(OR(Q123="",R123=""),"",IF(R123="invalid","invalid",IF(Q123=R123,"agreement",IF(AND(Q123="no",R123="yes"),"false_accept","false_reject"))))</x:f>
      </x:c>
    </x:row>
    <x:row r="124">
      <x:c r="A124" s="24" t="s">
        <x:v>161</x:v>
      </x:c>
      <x:c r="B124" s="24" t="s">
        <x:v>131</x:v>
      </x:c>
      <x:c r="C124" s="24" t="s">
        <x:v>158</x:v>
      </x:c>
      <x:c r="D124" s="24" t="s">
        <x:v>159</x:v>
      </x:c>
      <x:c r="E124" s="24" t="s">
        <x:v>14</x:v>
      </x:c>
      <x:c r="F124" s="24" t="s">
        <x:v>15</x:v>
      </x:c>
      <x:c r="G124" s="24" t="s">
        <x:v>16</x:v>
      </x:c>
      <x:c r="H124" s="33">
        <x:v>1001</x:v>
      </x:c>
      <x:c r="I124" s="33">
        <x:v>8566257</x:v>
      </x:c>
      <x:c r="J124" s="24"/>
      <x:c r="K124" s="52"/>
      <x:c r="L124" s="52"/>
      <x:c r="M124" s="52"/>
      <x:c r="N124" s="55"/>
      <x:c r="O124" s="59" t="str">
        <x:f t="shared" si="6"/>
      </x:c>
      <x:c r="P124" s="60" t="str">
        <x:f t="shared" si="7"/>
      </x:c>
      <x:c r="Q124" s="63"/>
      <x:c r="R124" s="64"/>
      <x:c r="S124" s="65" t="str">
        <x:f>IF(OR(Q124="",R124=""),"",IF(R124="invalid",0,--(Q124=R124)))</x:f>
      </x:c>
      <x:c r="T124" s="65" t="str">
        <x:f>IF(OR(Q124="",R124=""),"",IF(R124="invalid","invalid",IF(Q124=R124,"agreement",IF(AND(Q124="no",R124="yes"),"false_accept","false_reject"))))</x:f>
      </x:c>
    </x:row>
    <x:row r="125">
      <x:c r="A125" s="24" t="s">
        <x:v>162</x:v>
      </x:c>
      <x:c r="B125" s="24" t="s">
        <x:v>131</x:v>
      </x:c>
      <x:c r="C125" s="24" t="s">
        <x:v>158</x:v>
      </x:c>
      <x:c r="D125" s="24" t="s">
        <x:v>159</x:v>
      </x:c>
      <x:c r="E125" s="24" t="s">
        <x:v>14</x:v>
      </x:c>
      <x:c r="F125" s="24" t="s">
        <x:v>15</x:v>
      </x:c>
      <x:c r="G125" s="24" t="s">
        <x:v>16</x:v>
      </x:c>
      <x:c r="H125" s="33">
        <x:v>1001</x:v>
      </x:c>
      <x:c r="I125" s="33">
        <x:v>2875613</x:v>
      </x:c>
      <x:c r="J125" s="24"/>
      <x:c r="K125" s="52"/>
      <x:c r="L125" s="52"/>
      <x:c r="M125" s="52"/>
      <x:c r="N125" s="55"/>
      <x:c r="O125" s="59" t="str">
        <x:f t="shared" si="6"/>
      </x:c>
      <x:c r="P125" s="60" t="str">
        <x:f t="shared" si="7"/>
      </x:c>
      <x:c r="Q125" s="63"/>
      <x:c r="R125" s="64"/>
      <x:c r="S125" s="65" t="str">
        <x:f>IF(OR(Q125="",R125=""),"",IF(R125="invalid",0,--(Q125=R125)))</x:f>
      </x:c>
      <x:c r="T125" s="65" t="str">
        <x:f>IF(OR(Q125="",R125=""),"",IF(R125="invalid","invalid",IF(Q125=R125,"agreement",IF(AND(Q125="no",R125="yes"),"false_accept","false_reject"))))</x:f>
      </x:c>
    </x:row>
    <x:row r="126">
      <x:c r="A126" s="24" t="s">
        <x:v>163</x:v>
      </x:c>
      <x:c r="B126" s="24" t="s">
        <x:v>131</x:v>
      </x:c>
      <x:c r="C126" s="24" t="s">
        <x:v>158</x:v>
      </x:c>
      <x:c r="D126" s="24" t="s">
        <x:v>159</x:v>
      </x:c>
      <x:c r="E126" s="24" t="s">
        <x:v>14</x:v>
      </x:c>
      <x:c r="F126" s="24" t="s">
        <x:v>21</x:v>
      </x:c>
      <x:c r="G126" s="24" t="s">
        <x:v>22</x:v>
      </x:c>
      <x:c r="H126" s="33">
        <x:v>1000</x:v>
      </x:c>
      <x:c r="I126" s="33">
        <x:v>8566257</x:v>
      </x:c>
      <x:c r="J126" s="24"/>
      <x:c r="K126" s="52"/>
      <x:c r="L126" s="52"/>
      <x:c r="M126" s="52"/>
      <x:c r="N126" s="55"/>
      <x:c r="O126" s="59" t="str">
        <x:f t="shared" si="6"/>
      </x:c>
      <x:c r="P126" s="60" t="str">
        <x:f t="shared" si="7"/>
      </x:c>
      <x:c r="Q126" s="63"/>
      <x:c r="R126" s="64"/>
      <x:c r="S126" s="65" t="str">
        <x:f>IF(OR(Q126="",R126=""),"",IF(R126="invalid",0,--(Q126=R126)))</x:f>
      </x:c>
      <x:c r="T126" s="65" t="str">
        <x:f>IF(OR(Q126="",R126=""),"",IF(R126="invalid","invalid",IF(Q126=R126,"agreement",IF(AND(Q126="no",R126="yes"),"false_accept","false_reject"))))</x:f>
      </x:c>
    </x:row>
    <x:row r="127">
      <x:c r="A127" s="24" t="s">
        <x:v>164</x:v>
      </x:c>
      <x:c r="B127" s="24" t="s">
        <x:v>131</x:v>
      </x:c>
      <x:c r="C127" s="24" t="s">
        <x:v>158</x:v>
      </x:c>
      <x:c r="D127" s="24" t="s">
        <x:v>159</x:v>
      </x:c>
      <x:c r="E127" s="24" t="s">
        <x:v>14</x:v>
      </x:c>
      <x:c r="F127" s="24" t="s">
        <x:v>21</x:v>
      </x:c>
      <x:c r="G127" s="24" t="s">
        <x:v>22</x:v>
      </x:c>
      <x:c r="H127" s="33">
        <x:v>1000</x:v>
      </x:c>
      <x:c r="I127" s="33">
        <x:v>2875613</x:v>
      </x:c>
      <x:c r="J127" s="24"/>
      <x:c r="K127" s="52"/>
      <x:c r="L127" s="52"/>
      <x:c r="M127" s="52"/>
      <x:c r="N127" s="55"/>
      <x:c r="O127" s="59" t="str">
        <x:f t="shared" si="6"/>
      </x:c>
      <x:c r="P127" s="60" t="str">
        <x:f t="shared" si="7"/>
      </x:c>
      <x:c r="Q127" s="63"/>
      <x:c r="R127" s="64"/>
      <x:c r="S127" s="65" t="str">
        <x:f>IF(OR(Q127="",R127=""),"",IF(R127="invalid",0,--(Q127=R127)))</x:f>
      </x:c>
      <x:c r="T127" s="65" t="str">
        <x:f>IF(OR(Q127="",R127=""),"",IF(R127="invalid","invalid",IF(Q127=R127,"agreement",IF(AND(Q127="no",R127="yes"),"false_accept","false_reject"))))</x:f>
      </x:c>
    </x:row>
    <x:row r="128">
      <x:c r="A128" s="24" t="s">
        <x:v>165</x:v>
      </x:c>
      <x:c r="B128" s="24" t="s">
        <x:v>131</x:v>
      </x:c>
      <x:c r="C128" s="24" t="s">
        <x:v>158</x:v>
      </x:c>
      <x:c r="D128" s="24" t="s">
        <x:v>159</x:v>
      </x:c>
      <x:c r="E128" s="24" t="s">
        <x:v>14</x:v>
      </x:c>
      <x:c r="F128" s="24" t="s">
        <x:v>21</x:v>
      </x:c>
      <x:c r="G128" s="24" t="s">
        <x:v>22</x:v>
      </x:c>
      <x:c r="H128" s="33">
        <x:v>1001</x:v>
      </x:c>
      <x:c r="I128" s="33">
        <x:v>8566257</x:v>
      </x:c>
      <x:c r="J128" s="24"/>
      <x:c r="K128" s="52"/>
      <x:c r="L128" s="52"/>
      <x:c r="M128" s="52"/>
      <x:c r="N128" s="55"/>
      <x:c r="O128" s="59" t="str">
        <x:f t="shared" si="6"/>
      </x:c>
      <x:c r="P128" s="60" t="str">
        <x:f t="shared" si="7"/>
      </x:c>
      <x:c r="Q128" s="63"/>
      <x:c r="R128" s="64"/>
      <x:c r="S128" s="65" t="str">
        <x:f>IF(OR(Q128="",R128=""),"",IF(R128="invalid",0,--(Q128=R128)))</x:f>
      </x:c>
      <x:c r="T128" s="65" t="str">
        <x:f>IF(OR(Q128="",R128=""),"",IF(R128="invalid","invalid",IF(Q128=R128,"agreement",IF(AND(Q128="no",R128="yes"),"false_accept","false_reject"))))</x:f>
      </x:c>
    </x:row>
    <x:row r="129">
      <x:c r="A129" s="24" t="s">
        <x:v>166</x:v>
      </x:c>
      <x:c r="B129" s="24" t="s">
        <x:v>131</x:v>
      </x:c>
      <x:c r="C129" s="24" t="s">
        <x:v>158</x:v>
      </x:c>
      <x:c r="D129" s="24" t="s">
        <x:v>159</x:v>
      </x:c>
      <x:c r="E129" s="24" t="s">
        <x:v>14</x:v>
      </x:c>
      <x:c r="F129" s="24" t="s">
        <x:v>21</x:v>
      </x:c>
      <x:c r="G129" s="24" t="s">
        <x:v>22</x:v>
      </x:c>
      <x:c r="H129" s="33">
        <x:v>1001</x:v>
      </x:c>
      <x:c r="I129" s="33">
        <x:v>2875613</x:v>
      </x:c>
      <x:c r="J129" s="24"/>
      <x:c r="K129" s="52"/>
      <x:c r="L129" s="52"/>
      <x:c r="M129" s="52"/>
      <x:c r="N129" s="55"/>
      <x:c r="O129" s="59" t="str">
        <x:f t="shared" si="6"/>
      </x:c>
      <x:c r="P129" s="60" t="str">
        <x:f t="shared" si="7"/>
      </x:c>
      <x:c r="Q129" s="63"/>
      <x:c r="R129" s="64"/>
      <x:c r="S129" s="65" t="str">
        <x:f>IF(OR(Q129="",R129=""),"",IF(R129="invalid",0,--(Q129=R129)))</x:f>
      </x:c>
      <x:c r="T129" s="65" t="str">
        <x:f>IF(OR(Q129="",R129=""),"",IF(R129="invalid","invalid",IF(Q129=R129,"agreement",IF(AND(Q129="no",R129="yes"),"false_accept","false_reject"))))</x:f>
      </x:c>
    </x:row>
    <x:row r="130">
      <x:c r="A130" s="24" t="s">
        <x:v>167</x:v>
      </x:c>
      <x:c r="B130" s="24" t="s">
        <x:v>131</x:v>
      </x:c>
      <x:c r="C130" s="24" t="s">
        <x:v>158</x:v>
      </x:c>
      <x:c r="D130" s="24" t="s">
        <x:v>159</x:v>
      </x:c>
      <x:c r="E130" s="24" t="s">
        <x:v>27</x:v>
      </x:c>
      <x:c r="F130" s="24" t="s">
        <x:v>28</x:v>
      </x:c>
      <x:c r="G130" s="24" t="s">
        <x:v>29</x:v>
      </x:c>
      <x:c r="H130" s="33">
        <x:v>1000</x:v>
      </x:c>
      <x:c r="I130" s="33">
        <x:v>8566257</x:v>
      </x:c>
      <x:c r="J130" s="24"/>
      <x:c r="K130" s="52"/>
      <x:c r="L130" s="52"/>
      <x:c r="M130" s="52"/>
      <x:c r="N130" s="55"/>
      <x:c r="O130" s="59" t="str">
        <x:f t="shared" ref="O130:O161" si="8">IF(OR(K130="",N130=""),"",IF(N130="invalid",0,--(K130=N130)))</x:f>
      </x:c>
      <x:c r="P130" s="60" t="str">
        <x:f t="shared" ref="P130:P161" si="9">IF(OR(K130="",N130=""),"",IF(N130="invalid","invalid",IF(K130=N130,"agreement",IF(AND(K130="no",N130="yes"),"false_accept","false_reject"))))</x:f>
      </x:c>
      <x:c r="Q130" s="63"/>
      <x:c r="R130" s="64"/>
      <x:c r="S130" s="65" t="str">
        <x:f>IF(OR(Q130="",R130=""),"",IF(R130="invalid",0,--(Q130=R130)))</x:f>
      </x:c>
      <x:c r="T130" s="65" t="str">
        <x:f>IF(OR(Q130="",R130=""),"",IF(R130="invalid","invalid",IF(Q130=R130,"agreement",IF(AND(Q130="no",R130="yes"),"false_accept","false_reject"))))</x:f>
      </x:c>
    </x:row>
    <x:row r="131">
      <x:c r="A131" s="24" t="s">
        <x:v>168</x:v>
      </x:c>
      <x:c r="B131" s="24" t="s">
        <x:v>131</x:v>
      </x:c>
      <x:c r="C131" s="24" t="s">
        <x:v>158</x:v>
      </x:c>
      <x:c r="D131" s="24" t="s">
        <x:v>159</x:v>
      </x:c>
      <x:c r="E131" s="24" t="s">
        <x:v>27</x:v>
      </x:c>
      <x:c r="F131" s="24" t="s">
        <x:v>28</x:v>
      </x:c>
      <x:c r="G131" s="24" t="s">
        <x:v>29</x:v>
      </x:c>
      <x:c r="H131" s="33">
        <x:v>1000</x:v>
      </x:c>
      <x:c r="I131" s="33">
        <x:v>2875613</x:v>
      </x:c>
      <x:c r="J131" s="24"/>
      <x:c r="K131" s="52"/>
      <x:c r="L131" s="52"/>
      <x:c r="M131" s="52"/>
      <x:c r="N131" s="55"/>
      <x:c r="O131" s="59" t="str">
        <x:f t="shared" si="8"/>
      </x:c>
      <x:c r="P131" s="60" t="str">
        <x:f t="shared" si="9"/>
      </x:c>
      <x:c r="Q131" s="63"/>
      <x:c r="R131" s="64"/>
      <x:c r="S131" s="65" t="str">
        <x:f>IF(OR(Q131="",R131=""),"",IF(R131="invalid",0,--(Q131=R131)))</x:f>
      </x:c>
      <x:c r="T131" s="65" t="str">
        <x:f>IF(OR(Q131="",R131=""),"",IF(R131="invalid","invalid",IF(Q131=R131,"agreement",IF(AND(Q131="no",R131="yes"),"false_accept","false_reject"))))</x:f>
      </x:c>
    </x:row>
    <x:row r="132">
      <x:c r="A132" s="24" t="s">
        <x:v>169</x:v>
      </x:c>
      <x:c r="B132" s="24" t="s">
        <x:v>131</x:v>
      </x:c>
      <x:c r="C132" s="24" t="s">
        <x:v>158</x:v>
      </x:c>
      <x:c r="D132" s="24" t="s">
        <x:v>159</x:v>
      </x:c>
      <x:c r="E132" s="24" t="s">
        <x:v>27</x:v>
      </x:c>
      <x:c r="F132" s="24" t="s">
        <x:v>28</x:v>
      </x:c>
      <x:c r="G132" s="24" t="s">
        <x:v>29</x:v>
      </x:c>
      <x:c r="H132" s="33">
        <x:v>1001</x:v>
      </x:c>
      <x:c r="I132" s="33">
        <x:v>8566257</x:v>
      </x:c>
      <x:c r="J132" s="24"/>
      <x:c r="K132" s="52"/>
      <x:c r="L132" s="52"/>
      <x:c r="M132" s="52"/>
      <x:c r="N132" s="55"/>
      <x:c r="O132" s="59" t="str">
        <x:f t="shared" si="8"/>
      </x:c>
      <x:c r="P132" s="60" t="str">
        <x:f t="shared" si="9"/>
      </x:c>
      <x:c r="Q132" s="63"/>
      <x:c r="R132" s="64"/>
      <x:c r="S132" s="65" t="str">
        <x:f>IF(OR(Q132="",R132=""),"",IF(R132="invalid",0,--(Q132=R132)))</x:f>
      </x:c>
      <x:c r="T132" s="65" t="str">
        <x:f>IF(OR(Q132="",R132=""),"",IF(R132="invalid","invalid",IF(Q132=R132,"agreement",IF(AND(Q132="no",R132="yes"),"false_accept","false_reject"))))</x:f>
      </x:c>
    </x:row>
    <x:row r="133">
      <x:c r="A133" s="24" t="s">
        <x:v>170</x:v>
      </x:c>
      <x:c r="B133" s="24" t="s">
        <x:v>131</x:v>
      </x:c>
      <x:c r="C133" s="24" t="s">
        <x:v>158</x:v>
      </x:c>
      <x:c r="D133" s="24" t="s">
        <x:v>159</x:v>
      </x:c>
      <x:c r="E133" s="24" t="s">
        <x:v>27</x:v>
      </x:c>
      <x:c r="F133" s="24" t="s">
        <x:v>28</x:v>
      </x:c>
      <x:c r="G133" s="24" t="s">
        <x:v>29</x:v>
      </x:c>
      <x:c r="H133" s="33">
        <x:v>1001</x:v>
      </x:c>
      <x:c r="I133" s="33">
        <x:v>2875613</x:v>
      </x:c>
      <x:c r="J133" s="24"/>
      <x:c r="K133" s="52"/>
      <x:c r="L133" s="52"/>
      <x:c r="M133" s="52"/>
      <x:c r="N133" s="55"/>
      <x:c r="O133" s="59" t="str">
        <x:f t="shared" si="8"/>
      </x:c>
      <x:c r="P133" s="60" t="str">
        <x:f t="shared" si="9"/>
      </x:c>
      <x:c r="Q133" s="63"/>
      <x:c r="R133" s="64"/>
      <x:c r="S133" s="65" t="str">
        <x:f>IF(OR(Q133="",R133=""),"",IF(R133="invalid",0,--(Q133=R133)))</x:f>
      </x:c>
      <x:c r="T133" s="65" t="str">
        <x:f>IF(OR(Q133="",R133=""),"",IF(R133="invalid","invalid",IF(Q133=R133,"agreement",IF(AND(Q133="no",R133="yes"),"false_accept","false_reject"))))</x:f>
      </x:c>
    </x:row>
    <x:row r="134">
      <x:c r="A134" s="24" t="s">
        <x:v>171</x:v>
      </x:c>
      <x:c r="B134" s="24" t="s">
        <x:v>131</x:v>
      </x:c>
      <x:c r="C134" s="24" t="s">
        <x:v>158</x:v>
      </x:c>
      <x:c r="D134" s="24" t="s">
        <x:v>159</x:v>
      </x:c>
      <x:c r="E134" s="24" t="s">
        <x:v>27</x:v>
      </x:c>
      <x:c r="F134" s="24" t="s">
        <x:v>34</x:v>
      </x:c>
      <x:c r="G134" s="24" t="s">
        <x:v>35</x:v>
      </x:c>
      <x:c r="H134" s="33">
        <x:v>1000</x:v>
      </x:c>
      <x:c r="I134" s="33">
        <x:v>8566257</x:v>
      </x:c>
      <x:c r="J134" s="24"/>
      <x:c r="K134" s="52"/>
      <x:c r="L134" s="52"/>
      <x:c r="M134" s="52"/>
      <x:c r="N134" s="55"/>
      <x:c r="O134" s="59" t="str">
        <x:f t="shared" si="8"/>
      </x:c>
      <x:c r="P134" s="60" t="str">
        <x:f t="shared" si="9"/>
      </x:c>
      <x:c r="Q134" s="63"/>
      <x:c r="R134" s="64"/>
      <x:c r="S134" s="65" t="str">
        <x:f>IF(OR(Q134="",R134=""),"",IF(R134="invalid",0,--(Q134=R134)))</x:f>
      </x:c>
      <x:c r="T134" s="65" t="str">
        <x:f>IF(OR(Q134="",R134=""),"",IF(R134="invalid","invalid",IF(Q134=R134,"agreement",IF(AND(Q134="no",R134="yes"),"false_accept","false_reject"))))</x:f>
      </x:c>
    </x:row>
    <x:row r="135">
      <x:c r="A135" s="24" t="s">
        <x:v>172</x:v>
      </x:c>
      <x:c r="B135" s="24" t="s">
        <x:v>131</x:v>
      </x:c>
      <x:c r="C135" s="24" t="s">
        <x:v>158</x:v>
      </x:c>
      <x:c r="D135" s="24" t="s">
        <x:v>159</x:v>
      </x:c>
      <x:c r="E135" s="24" t="s">
        <x:v>27</x:v>
      </x:c>
      <x:c r="F135" s="24" t="s">
        <x:v>34</x:v>
      </x:c>
      <x:c r="G135" s="24" t="s">
        <x:v>35</x:v>
      </x:c>
      <x:c r="H135" s="33">
        <x:v>1000</x:v>
      </x:c>
      <x:c r="I135" s="33">
        <x:v>2875613</x:v>
      </x:c>
      <x:c r="J135" s="24"/>
      <x:c r="K135" s="52"/>
      <x:c r="L135" s="52"/>
      <x:c r="M135" s="52"/>
      <x:c r="N135" s="55"/>
      <x:c r="O135" s="59" t="str">
        <x:f t="shared" si="8"/>
      </x:c>
      <x:c r="P135" s="60" t="str">
        <x:f t="shared" si="9"/>
      </x:c>
      <x:c r="Q135" s="63"/>
      <x:c r="R135" s="64"/>
      <x:c r="S135" s="65" t="str">
        <x:f>IF(OR(Q135="",R135=""),"",IF(R135="invalid",0,--(Q135=R135)))</x:f>
      </x:c>
      <x:c r="T135" s="65" t="str">
        <x:f>IF(OR(Q135="",R135=""),"",IF(R135="invalid","invalid",IF(Q135=R135,"agreement",IF(AND(Q135="no",R135="yes"),"false_accept","false_reject"))))</x:f>
      </x:c>
    </x:row>
    <x:row r="136">
      <x:c r="A136" s="24" t="s">
        <x:v>173</x:v>
      </x:c>
      <x:c r="B136" s="24" t="s">
        <x:v>131</x:v>
      </x:c>
      <x:c r="C136" s="24" t="s">
        <x:v>158</x:v>
      </x:c>
      <x:c r="D136" s="24" t="s">
        <x:v>159</x:v>
      </x:c>
      <x:c r="E136" s="24" t="s">
        <x:v>27</x:v>
      </x:c>
      <x:c r="F136" s="24" t="s">
        <x:v>34</x:v>
      </x:c>
      <x:c r="G136" s="24" t="s">
        <x:v>35</x:v>
      </x:c>
      <x:c r="H136" s="33">
        <x:v>1001</x:v>
      </x:c>
      <x:c r="I136" s="33">
        <x:v>8566257</x:v>
      </x:c>
      <x:c r="J136" s="24"/>
      <x:c r="K136" s="52"/>
      <x:c r="L136" s="52"/>
      <x:c r="M136" s="52"/>
      <x:c r="N136" s="55"/>
      <x:c r="O136" s="59" t="str">
        <x:f t="shared" si="8"/>
      </x:c>
      <x:c r="P136" s="60" t="str">
        <x:f t="shared" si="9"/>
      </x:c>
      <x:c r="Q136" s="63"/>
      <x:c r="R136" s="64"/>
      <x:c r="S136" s="65" t="str">
        <x:f>IF(OR(Q136="",R136=""),"",IF(R136="invalid",0,--(Q136=R136)))</x:f>
      </x:c>
      <x:c r="T136" s="65" t="str">
        <x:f>IF(OR(Q136="",R136=""),"",IF(R136="invalid","invalid",IF(Q136=R136,"agreement",IF(AND(Q136="no",R136="yes"),"false_accept","false_reject"))))</x:f>
      </x:c>
    </x:row>
    <x:row r="137">
      <x:c r="A137" s="24" t="s">
        <x:v>174</x:v>
      </x:c>
      <x:c r="B137" s="24" t="s">
        <x:v>131</x:v>
      </x:c>
      <x:c r="C137" s="24" t="s">
        <x:v>158</x:v>
      </x:c>
      <x:c r="D137" s="24" t="s">
        <x:v>159</x:v>
      </x:c>
      <x:c r="E137" s="24" t="s">
        <x:v>27</x:v>
      </x:c>
      <x:c r="F137" s="24" t="s">
        <x:v>34</x:v>
      </x:c>
      <x:c r="G137" s="24" t="s">
        <x:v>35</x:v>
      </x:c>
      <x:c r="H137" s="33">
        <x:v>1001</x:v>
      </x:c>
      <x:c r="I137" s="33">
        <x:v>2875613</x:v>
      </x:c>
      <x:c r="J137" s="24"/>
      <x:c r="K137" s="52"/>
      <x:c r="L137" s="52"/>
      <x:c r="M137" s="52"/>
      <x:c r="N137" s="55"/>
      <x:c r="O137" s="59" t="str">
        <x:f t="shared" si="8"/>
      </x:c>
      <x:c r="P137" s="60" t="str">
        <x:f t="shared" si="9"/>
      </x:c>
      <x:c r="Q137" s="63"/>
      <x:c r="R137" s="64"/>
      <x:c r="S137" s="65" t="str">
        <x:f>IF(OR(Q137="",R137=""),"",IF(R137="invalid",0,--(Q137=R137)))</x:f>
      </x:c>
      <x:c r="T137" s="65" t="str">
        <x:f>IF(OR(Q137="",R137=""),"",IF(R137="invalid","invalid",IF(Q137=R137,"agreement",IF(AND(Q137="no",R137="yes"),"false_accept","false_reject"))))</x:f>
      </x:c>
    </x:row>
    <x:row r="138">
      <x:c r="A138" s="24" t="s">
        <x:v>175</x:v>
      </x:c>
      <x:c r="B138" s="24" t="s">
        <x:v>131</x:v>
      </x:c>
      <x:c r="C138" s="24" t="s">
        <x:v>158</x:v>
      </x:c>
      <x:c r="D138" s="24" t="s">
        <x:v>159</x:v>
      </x:c>
      <x:c r="E138" s="24" t="s">
        <x:v>40</x:v>
      </x:c>
      <x:c r="F138" s="24" t="s">
        <x:v>41</x:v>
      </x:c>
      <x:c r="G138" s="24" t="s">
        <x:v>42</x:v>
      </x:c>
      <x:c r="H138" s="33">
        <x:v>1000</x:v>
      </x:c>
      <x:c r="I138" s="33">
        <x:v>8566257</x:v>
      </x:c>
      <x:c r="J138" s="24"/>
      <x:c r="K138" s="52"/>
      <x:c r="L138" s="52"/>
      <x:c r="M138" s="52"/>
      <x:c r="N138" s="55"/>
      <x:c r="O138" s="59" t="str">
        <x:f t="shared" si="8"/>
      </x:c>
      <x:c r="P138" s="60" t="str">
        <x:f t="shared" si="9"/>
      </x:c>
      <x:c r="Q138" s="63"/>
      <x:c r="R138" s="64"/>
      <x:c r="S138" s="65" t="str">
        <x:f>IF(OR(Q138="",R138=""),"",IF(R138="invalid",0,--(Q138=R138)))</x:f>
      </x:c>
      <x:c r="T138" s="65" t="str">
        <x:f>IF(OR(Q138="",R138=""),"",IF(R138="invalid","invalid",IF(Q138=R138,"agreement",IF(AND(Q138="no",R138="yes"),"false_accept","false_reject"))))</x:f>
      </x:c>
    </x:row>
    <x:row r="139">
      <x:c r="A139" s="24" t="s">
        <x:v>176</x:v>
      </x:c>
      <x:c r="B139" s="24" t="s">
        <x:v>131</x:v>
      </x:c>
      <x:c r="C139" s="24" t="s">
        <x:v>158</x:v>
      </x:c>
      <x:c r="D139" s="24" t="s">
        <x:v>159</x:v>
      </x:c>
      <x:c r="E139" s="24" t="s">
        <x:v>40</x:v>
      </x:c>
      <x:c r="F139" s="24" t="s">
        <x:v>41</x:v>
      </x:c>
      <x:c r="G139" s="24" t="s">
        <x:v>42</x:v>
      </x:c>
      <x:c r="H139" s="33">
        <x:v>1000</x:v>
      </x:c>
      <x:c r="I139" s="33">
        <x:v>2875613</x:v>
      </x:c>
      <x:c r="J139" s="24"/>
      <x:c r="K139" s="52"/>
      <x:c r="L139" s="52"/>
      <x:c r="M139" s="52"/>
      <x:c r="N139" s="55"/>
      <x:c r="O139" s="59" t="str">
        <x:f t="shared" si="8"/>
      </x:c>
      <x:c r="P139" s="60" t="str">
        <x:f t="shared" si="9"/>
      </x:c>
      <x:c r="Q139" s="63"/>
      <x:c r="R139" s="64"/>
      <x:c r="S139" s="65" t="str">
        <x:f>IF(OR(Q139="",R139=""),"",IF(R139="invalid",0,--(Q139=R139)))</x:f>
      </x:c>
      <x:c r="T139" s="65" t="str">
        <x:f>IF(OR(Q139="",R139=""),"",IF(R139="invalid","invalid",IF(Q139=R139,"agreement",IF(AND(Q139="no",R139="yes"),"false_accept","false_reject"))))</x:f>
      </x:c>
    </x:row>
    <x:row r="140">
      <x:c r="A140" s="24" t="s">
        <x:v>177</x:v>
      </x:c>
      <x:c r="B140" s="24" t="s">
        <x:v>131</x:v>
      </x:c>
      <x:c r="C140" s="24" t="s">
        <x:v>158</x:v>
      </x:c>
      <x:c r="D140" s="24" t="s">
        <x:v>159</x:v>
      </x:c>
      <x:c r="E140" s="24" t="s">
        <x:v>40</x:v>
      </x:c>
      <x:c r="F140" s="24" t="s">
        <x:v>41</x:v>
      </x:c>
      <x:c r="G140" s="24" t="s">
        <x:v>42</x:v>
      </x:c>
      <x:c r="H140" s="33">
        <x:v>1001</x:v>
      </x:c>
      <x:c r="I140" s="33">
        <x:v>8566257</x:v>
      </x:c>
      <x:c r="J140" s="24"/>
      <x:c r="K140" s="52"/>
      <x:c r="L140" s="52"/>
      <x:c r="M140" s="52"/>
      <x:c r="N140" s="55"/>
      <x:c r="O140" s="59" t="str">
        <x:f t="shared" si="8"/>
      </x:c>
      <x:c r="P140" s="60" t="str">
        <x:f t="shared" si="9"/>
      </x:c>
      <x:c r="Q140" s="63"/>
      <x:c r="R140" s="64"/>
      <x:c r="S140" s="65" t="str">
        <x:f>IF(OR(Q140="",R140=""),"",IF(R140="invalid",0,--(Q140=R140)))</x:f>
      </x:c>
      <x:c r="T140" s="65" t="str">
        <x:f>IF(OR(Q140="",R140=""),"",IF(R140="invalid","invalid",IF(Q140=R140,"agreement",IF(AND(Q140="no",R140="yes"),"false_accept","false_reject"))))</x:f>
      </x:c>
    </x:row>
    <x:row r="141">
      <x:c r="A141" s="24" t="s">
        <x:v>178</x:v>
      </x:c>
      <x:c r="B141" s="24" t="s">
        <x:v>131</x:v>
      </x:c>
      <x:c r="C141" s="24" t="s">
        <x:v>158</x:v>
      </x:c>
      <x:c r="D141" s="24" t="s">
        <x:v>159</x:v>
      </x:c>
      <x:c r="E141" s="24" t="s">
        <x:v>40</x:v>
      </x:c>
      <x:c r="F141" s="24" t="s">
        <x:v>41</x:v>
      </x:c>
      <x:c r="G141" s="24" t="s">
        <x:v>42</x:v>
      </x:c>
      <x:c r="H141" s="33">
        <x:v>1001</x:v>
      </x:c>
      <x:c r="I141" s="33">
        <x:v>2875613</x:v>
      </x:c>
      <x:c r="J141" s="24"/>
      <x:c r="K141" s="52"/>
      <x:c r="L141" s="52"/>
      <x:c r="M141" s="52"/>
      <x:c r="N141" s="55"/>
      <x:c r="O141" s="59" t="str">
        <x:f t="shared" si="8"/>
      </x:c>
      <x:c r="P141" s="60" t="str">
        <x:f t="shared" si="9"/>
      </x:c>
      <x:c r="Q141" s="63"/>
      <x:c r="R141" s="64"/>
      <x:c r="S141" s="65" t="str">
        <x:f>IF(OR(Q141="",R141=""),"",IF(R141="invalid",0,--(Q141=R141)))</x:f>
      </x:c>
      <x:c r="T141" s="65" t="str">
        <x:f>IF(OR(Q141="",R141=""),"",IF(R141="invalid","invalid",IF(Q141=R141,"agreement",IF(AND(Q141="no",R141="yes"),"false_accept","false_reject"))))</x:f>
      </x:c>
    </x:row>
    <x:row r="142">
      <x:c r="A142" s="24" t="s">
        <x:v>179</x:v>
      </x:c>
      <x:c r="B142" s="24" t="s">
        <x:v>131</x:v>
      </x:c>
      <x:c r="C142" s="24" t="s">
        <x:v>158</x:v>
      </x:c>
      <x:c r="D142" s="24" t="s">
        <x:v>159</x:v>
      </x:c>
      <x:c r="E142" s="24" t="s">
        <x:v>40</x:v>
      </x:c>
      <x:c r="F142" s="24" t="s">
        <x:v>47</x:v>
      </x:c>
      <x:c r="G142" s="24" t="s">
        <x:v>48</x:v>
      </x:c>
      <x:c r="H142" s="33">
        <x:v>1000</x:v>
      </x:c>
      <x:c r="I142" s="33">
        <x:v>8566257</x:v>
      </x:c>
      <x:c r="J142" s="24"/>
      <x:c r="K142" s="52"/>
      <x:c r="L142" s="52"/>
      <x:c r="M142" s="52"/>
      <x:c r="N142" s="55"/>
      <x:c r="O142" s="59" t="str">
        <x:f t="shared" si="8"/>
      </x:c>
      <x:c r="P142" s="60" t="str">
        <x:f t="shared" si="9"/>
      </x:c>
      <x:c r="Q142" s="63"/>
      <x:c r="R142" s="64"/>
      <x:c r="S142" s="65" t="str">
        <x:f>IF(OR(Q142="",R142=""),"",IF(R142="invalid",0,--(Q142=R142)))</x:f>
      </x:c>
      <x:c r="T142" s="65" t="str">
        <x:f>IF(OR(Q142="",R142=""),"",IF(R142="invalid","invalid",IF(Q142=R142,"agreement",IF(AND(Q142="no",R142="yes"),"false_accept","false_reject"))))</x:f>
      </x:c>
    </x:row>
    <x:row r="143">
      <x:c r="A143" s="24" t="s">
        <x:v>180</x:v>
      </x:c>
      <x:c r="B143" s="24" t="s">
        <x:v>131</x:v>
      </x:c>
      <x:c r="C143" s="24" t="s">
        <x:v>158</x:v>
      </x:c>
      <x:c r="D143" s="24" t="s">
        <x:v>159</x:v>
      </x:c>
      <x:c r="E143" s="24" t="s">
        <x:v>40</x:v>
      </x:c>
      <x:c r="F143" s="24" t="s">
        <x:v>47</x:v>
      </x:c>
      <x:c r="G143" s="24" t="s">
        <x:v>48</x:v>
      </x:c>
      <x:c r="H143" s="33">
        <x:v>1000</x:v>
      </x:c>
      <x:c r="I143" s="33">
        <x:v>2875613</x:v>
      </x:c>
      <x:c r="J143" s="24"/>
      <x:c r="K143" s="52"/>
      <x:c r="L143" s="52"/>
      <x:c r="M143" s="52"/>
      <x:c r="N143" s="55"/>
      <x:c r="O143" s="59" t="str">
        <x:f t="shared" si="8"/>
      </x:c>
      <x:c r="P143" s="60" t="str">
        <x:f t="shared" si="9"/>
      </x:c>
      <x:c r="Q143" s="63"/>
      <x:c r="R143" s="64"/>
      <x:c r="S143" s="65" t="str">
        <x:f>IF(OR(Q143="",R143=""),"",IF(R143="invalid",0,--(Q143=R143)))</x:f>
      </x:c>
      <x:c r="T143" s="65" t="str">
        <x:f>IF(OR(Q143="",R143=""),"",IF(R143="invalid","invalid",IF(Q143=R143,"agreement",IF(AND(Q143="no",R143="yes"),"false_accept","false_reject"))))</x:f>
      </x:c>
    </x:row>
    <x:row r="144">
      <x:c r="A144" s="24" t="s">
        <x:v>181</x:v>
      </x:c>
      <x:c r="B144" s="24" t="s">
        <x:v>131</x:v>
      </x:c>
      <x:c r="C144" s="24" t="s">
        <x:v>158</x:v>
      </x:c>
      <x:c r="D144" s="24" t="s">
        <x:v>159</x:v>
      </x:c>
      <x:c r="E144" s="24" t="s">
        <x:v>40</x:v>
      </x:c>
      <x:c r="F144" s="24" t="s">
        <x:v>47</x:v>
      </x:c>
      <x:c r="G144" s="24" t="s">
        <x:v>48</x:v>
      </x:c>
      <x:c r="H144" s="33">
        <x:v>1001</x:v>
      </x:c>
      <x:c r="I144" s="33">
        <x:v>8566257</x:v>
      </x:c>
      <x:c r="J144" s="24"/>
      <x:c r="K144" s="52"/>
      <x:c r="L144" s="52"/>
      <x:c r="M144" s="52"/>
      <x:c r="N144" s="55"/>
      <x:c r="O144" s="59" t="str">
        <x:f t="shared" si="8"/>
      </x:c>
      <x:c r="P144" s="60" t="str">
        <x:f t="shared" si="9"/>
      </x:c>
      <x:c r="Q144" s="63"/>
      <x:c r="R144" s="64"/>
      <x:c r="S144" s="65" t="str">
        <x:f>IF(OR(Q144="",R144=""),"",IF(R144="invalid",0,--(Q144=R144)))</x:f>
      </x:c>
      <x:c r="T144" s="65" t="str">
        <x:f>IF(OR(Q144="",R144=""),"",IF(R144="invalid","invalid",IF(Q144=R144,"agreement",IF(AND(Q144="no",R144="yes"),"false_accept","false_reject"))))</x:f>
      </x:c>
    </x:row>
    <x:row r="145">
      <x:c r="A145" s="24" t="s">
        <x:v>182</x:v>
      </x:c>
      <x:c r="B145" s="24" t="s">
        <x:v>131</x:v>
      </x:c>
      <x:c r="C145" s="24" t="s">
        <x:v>158</x:v>
      </x:c>
      <x:c r="D145" s="24" t="s">
        <x:v>159</x:v>
      </x:c>
      <x:c r="E145" s="24" t="s">
        <x:v>40</x:v>
      </x:c>
      <x:c r="F145" s="24" t="s">
        <x:v>47</x:v>
      </x:c>
      <x:c r="G145" s="24" t="s">
        <x:v>48</x:v>
      </x:c>
      <x:c r="H145" s="33">
        <x:v>1001</x:v>
      </x:c>
      <x:c r="I145" s="33">
        <x:v>2875613</x:v>
      </x:c>
      <x:c r="J145" s="24"/>
      <x:c r="K145" s="52"/>
      <x:c r="L145" s="52"/>
      <x:c r="M145" s="52"/>
      <x:c r="N145" s="55"/>
      <x:c r="O145" s="59" t="str">
        <x:f t="shared" si="8"/>
      </x:c>
      <x:c r="P145" s="60" t="str">
        <x:f t="shared" si="9"/>
      </x:c>
      <x:c r="Q145" s="63"/>
      <x:c r="R145" s="64"/>
      <x:c r="S145" s="65" t="str">
        <x:f>IF(OR(Q145="",R145=""),"",IF(R145="invalid",0,--(Q145=R145)))</x:f>
      </x:c>
      <x:c r="T145" s="65" t="str">
        <x:f>IF(OR(Q145="",R145=""),"",IF(R145="invalid","invalid",IF(Q145=R145,"agreement",IF(AND(Q145="no",R145="yes"),"false_accept","false_reject"))))</x:f>
      </x:c>
    </x:row>
    <x:row r="146">
      <x:c r="A146" s="24" t="s">
        <x:v>183</x:v>
      </x:c>
      <x:c r="B146" s="24" t="s">
        <x:v>184</x:v>
      </x:c>
      <x:c r="C146" s="24" t="s">
        <x:v>185</x:v>
      </x:c>
      <x:c r="D146" s="24" t="s">
        <x:v>186</x:v>
      </x:c>
      <x:c r="E146" s="24" t="s">
        <x:v>14</x:v>
      </x:c>
      <x:c r="F146" s="24" t="s">
        <x:v>15</x:v>
      </x:c>
      <x:c r="G146" s="24" t="s">
        <x:v>16</x:v>
      </x:c>
      <x:c r="H146" s="33">
        <x:v>1000</x:v>
      </x:c>
      <x:c r="I146" s="33">
        <x:v>8566257</x:v>
      </x:c>
      <x:c r="J146" s="24"/>
      <x:c r="K146" s="52"/>
      <x:c r="L146" s="52"/>
      <x:c r="M146" s="52"/>
      <x:c r="N146" s="55"/>
      <x:c r="O146" s="59" t="str">
        <x:f t="shared" si="8"/>
      </x:c>
      <x:c r="P146" s="60" t="str">
        <x:f t="shared" si="9"/>
      </x:c>
      <x:c r="Q146" s="63"/>
      <x:c r="R146" s="64"/>
      <x:c r="S146" s="65" t="str">
        <x:f>IF(OR(Q146="",R146=""),"",IF(R146="invalid",0,--(Q146=R146)))</x:f>
      </x:c>
      <x:c r="T146" s="65" t="str">
        <x:f>IF(OR(Q146="",R146=""),"",IF(R146="invalid","invalid",IF(Q146=R146,"agreement",IF(AND(Q146="no",R146="yes"),"false_accept","false_reject"))))</x:f>
      </x:c>
    </x:row>
    <x:row r="147">
      <x:c r="A147" s="24" t="s">
        <x:v>187</x:v>
      </x:c>
      <x:c r="B147" s="24" t="s">
        <x:v>184</x:v>
      </x:c>
      <x:c r="C147" s="24" t="s">
        <x:v>185</x:v>
      </x:c>
      <x:c r="D147" s="24" t="s">
        <x:v>186</x:v>
      </x:c>
      <x:c r="E147" s="24" t="s">
        <x:v>14</x:v>
      </x:c>
      <x:c r="F147" s="24" t="s">
        <x:v>15</x:v>
      </x:c>
      <x:c r="G147" s="24" t="s">
        <x:v>16</x:v>
      </x:c>
      <x:c r="H147" s="33">
        <x:v>1000</x:v>
      </x:c>
      <x:c r="I147" s="33">
        <x:v>2875613</x:v>
      </x:c>
      <x:c r="J147" s="24"/>
      <x:c r="K147" s="52"/>
      <x:c r="L147" s="52"/>
      <x:c r="M147" s="52"/>
      <x:c r="N147" s="55"/>
      <x:c r="O147" s="59" t="str">
        <x:f t="shared" si="8"/>
      </x:c>
      <x:c r="P147" s="60" t="str">
        <x:f t="shared" si="9"/>
      </x:c>
      <x:c r="Q147" s="63"/>
      <x:c r="R147" s="64"/>
      <x:c r="S147" s="65" t="str">
        <x:f>IF(OR(Q147="",R147=""),"",IF(R147="invalid",0,--(Q147=R147)))</x:f>
      </x:c>
      <x:c r="T147" s="65" t="str">
        <x:f>IF(OR(Q147="",R147=""),"",IF(R147="invalid","invalid",IF(Q147=R147,"agreement",IF(AND(Q147="no",R147="yes"),"false_accept","false_reject"))))</x:f>
      </x:c>
    </x:row>
    <x:row r="148">
      <x:c r="A148" s="24" t="s">
        <x:v>188</x:v>
      </x:c>
      <x:c r="B148" s="24" t="s">
        <x:v>184</x:v>
      </x:c>
      <x:c r="C148" s="24" t="s">
        <x:v>185</x:v>
      </x:c>
      <x:c r="D148" s="24" t="s">
        <x:v>186</x:v>
      </x:c>
      <x:c r="E148" s="24" t="s">
        <x:v>14</x:v>
      </x:c>
      <x:c r="F148" s="24" t="s">
        <x:v>15</x:v>
      </x:c>
      <x:c r="G148" s="24" t="s">
        <x:v>16</x:v>
      </x:c>
      <x:c r="H148" s="33">
        <x:v>1001</x:v>
      </x:c>
      <x:c r="I148" s="33">
        <x:v>8566257</x:v>
      </x:c>
      <x:c r="J148" s="24"/>
      <x:c r="K148" s="52"/>
      <x:c r="L148" s="52"/>
      <x:c r="M148" s="52"/>
      <x:c r="N148" s="55"/>
      <x:c r="O148" s="59" t="str">
        <x:f t="shared" si="8"/>
      </x:c>
      <x:c r="P148" s="60" t="str">
        <x:f t="shared" si="9"/>
      </x:c>
      <x:c r="Q148" s="63"/>
      <x:c r="R148" s="64"/>
      <x:c r="S148" s="65" t="str">
        <x:f>IF(OR(Q148="",R148=""),"",IF(R148="invalid",0,--(Q148=R148)))</x:f>
      </x:c>
      <x:c r="T148" s="65" t="str">
        <x:f>IF(OR(Q148="",R148=""),"",IF(R148="invalid","invalid",IF(Q148=R148,"agreement",IF(AND(Q148="no",R148="yes"),"false_accept","false_reject"))))</x:f>
      </x:c>
    </x:row>
    <x:row r="149">
      <x:c r="A149" s="24" t="s">
        <x:v>189</x:v>
      </x:c>
      <x:c r="B149" s="24" t="s">
        <x:v>184</x:v>
      </x:c>
      <x:c r="C149" s="24" t="s">
        <x:v>185</x:v>
      </x:c>
      <x:c r="D149" s="24" t="s">
        <x:v>186</x:v>
      </x:c>
      <x:c r="E149" s="24" t="s">
        <x:v>14</x:v>
      </x:c>
      <x:c r="F149" s="24" t="s">
        <x:v>15</x:v>
      </x:c>
      <x:c r="G149" s="24" t="s">
        <x:v>16</x:v>
      </x:c>
      <x:c r="H149" s="33">
        <x:v>1001</x:v>
      </x:c>
      <x:c r="I149" s="33">
        <x:v>2875613</x:v>
      </x:c>
      <x:c r="J149" s="24"/>
      <x:c r="K149" s="52"/>
      <x:c r="L149" s="52"/>
      <x:c r="M149" s="52"/>
      <x:c r="N149" s="55"/>
      <x:c r="O149" s="59" t="str">
        <x:f t="shared" si="8"/>
      </x:c>
      <x:c r="P149" s="60" t="str">
        <x:f t="shared" si="9"/>
      </x:c>
      <x:c r="Q149" s="63"/>
      <x:c r="R149" s="64"/>
      <x:c r="S149" s="65" t="str">
        <x:f>IF(OR(Q149="",R149=""),"",IF(R149="invalid",0,--(Q149=R149)))</x:f>
      </x:c>
      <x:c r="T149" s="65" t="str">
        <x:f>IF(OR(Q149="",R149=""),"",IF(R149="invalid","invalid",IF(Q149=R149,"agreement",IF(AND(Q149="no",R149="yes"),"false_accept","false_reject"))))</x:f>
      </x:c>
    </x:row>
    <x:row r="150">
      <x:c r="A150" s="24" t="s">
        <x:v>190</x:v>
      </x:c>
      <x:c r="B150" s="24" t="s">
        <x:v>184</x:v>
      </x:c>
      <x:c r="C150" s="24" t="s">
        <x:v>185</x:v>
      </x:c>
      <x:c r="D150" s="24" t="s">
        <x:v>186</x:v>
      </x:c>
      <x:c r="E150" s="24" t="s">
        <x:v>14</x:v>
      </x:c>
      <x:c r="F150" s="24" t="s">
        <x:v>21</x:v>
      </x:c>
      <x:c r="G150" s="24" t="s">
        <x:v>22</x:v>
      </x:c>
      <x:c r="H150" s="33">
        <x:v>1000</x:v>
      </x:c>
      <x:c r="I150" s="33">
        <x:v>8566257</x:v>
      </x:c>
      <x:c r="J150" s="24"/>
      <x:c r="K150" s="52"/>
      <x:c r="L150" s="52"/>
      <x:c r="M150" s="52"/>
      <x:c r="N150" s="55"/>
      <x:c r="O150" s="59" t="str">
        <x:f t="shared" si="8"/>
      </x:c>
      <x:c r="P150" s="60" t="str">
        <x:f t="shared" si="9"/>
      </x:c>
      <x:c r="Q150" s="63"/>
      <x:c r="R150" s="64"/>
      <x:c r="S150" s="65" t="str">
        <x:f>IF(OR(Q150="",R150=""),"",IF(R150="invalid",0,--(Q150=R150)))</x:f>
      </x:c>
      <x:c r="T150" s="65" t="str">
        <x:f>IF(OR(Q150="",R150=""),"",IF(R150="invalid","invalid",IF(Q150=R150,"agreement",IF(AND(Q150="no",R150="yes"),"false_accept","false_reject"))))</x:f>
      </x:c>
    </x:row>
    <x:row r="151">
      <x:c r="A151" s="24" t="s">
        <x:v>191</x:v>
      </x:c>
      <x:c r="B151" s="24" t="s">
        <x:v>184</x:v>
      </x:c>
      <x:c r="C151" s="24" t="s">
        <x:v>185</x:v>
      </x:c>
      <x:c r="D151" s="24" t="s">
        <x:v>186</x:v>
      </x:c>
      <x:c r="E151" s="24" t="s">
        <x:v>14</x:v>
      </x:c>
      <x:c r="F151" s="24" t="s">
        <x:v>21</x:v>
      </x:c>
      <x:c r="G151" s="24" t="s">
        <x:v>22</x:v>
      </x:c>
      <x:c r="H151" s="33">
        <x:v>1000</x:v>
      </x:c>
      <x:c r="I151" s="33">
        <x:v>2875613</x:v>
      </x:c>
      <x:c r="J151" s="24"/>
      <x:c r="K151" s="52"/>
      <x:c r="L151" s="52"/>
      <x:c r="M151" s="52"/>
      <x:c r="N151" s="55"/>
      <x:c r="O151" s="59" t="str">
        <x:f t="shared" si="8"/>
      </x:c>
      <x:c r="P151" s="60" t="str">
        <x:f t="shared" si="9"/>
      </x:c>
      <x:c r="Q151" s="63"/>
      <x:c r="R151" s="64"/>
      <x:c r="S151" s="65" t="str">
        <x:f>IF(OR(Q151="",R151=""),"",IF(R151="invalid",0,--(Q151=R151)))</x:f>
      </x:c>
      <x:c r="T151" s="65" t="str">
        <x:f>IF(OR(Q151="",R151=""),"",IF(R151="invalid","invalid",IF(Q151=R151,"agreement",IF(AND(Q151="no",R151="yes"),"false_accept","false_reject"))))</x:f>
      </x:c>
    </x:row>
    <x:row r="152">
      <x:c r="A152" s="24" t="s">
        <x:v>192</x:v>
      </x:c>
      <x:c r="B152" s="24" t="s">
        <x:v>184</x:v>
      </x:c>
      <x:c r="C152" s="24" t="s">
        <x:v>185</x:v>
      </x:c>
      <x:c r="D152" s="24" t="s">
        <x:v>186</x:v>
      </x:c>
      <x:c r="E152" s="24" t="s">
        <x:v>14</x:v>
      </x:c>
      <x:c r="F152" s="24" t="s">
        <x:v>21</x:v>
      </x:c>
      <x:c r="G152" s="24" t="s">
        <x:v>22</x:v>
      </x:c>
      <x:c r="H152" s="33">
        <x:v>1001</x:v>
      </x:c>
      <x:c r="I152" s="33">
        <x:v>8566257</x:v>
      </x:c>
      <x:c r="J152" s="24"/>
      <x:c r="K152" s="52"/>
      <x:c r="L152" s="52"/>
      <x:c r="M152" s="52"/>
      <x:c r="N152" s="55"/>
      <x:c r="O152" s="59" t="str">
        <x:f t="shared" si="8"/>
      </x:c>
      <x:c r="P152" s="60" t="str">
        <x:f t="shared" si="9"/>
      </x:c>
      <x:c r="Q152" s="63"/>
      <x:c r="R152" s="64"/>
      <x:c r="S152" s="65" t="str">
        <x:f>IF(OR(Q152="",R152=""),"",IF(R152="invalid",0,--(Q152=R152)))</x:f>
      </x:c>
      <x:c r="T152" s="65" t="str">
        <x:f>IF(OR(Q152="",R152=""),"",IF(R152="invalid","invalid",IF(Q152=R152,"agreement",IF(AND(Q152="no",R152="yes"),"false_accept","false_reject"))))</x:f>
      </x:c>
    </x:row>
    <x:row r="153">
      <x:c r="A153" s="24" t="s">
        <x:v>193</x:v>
      </x:c>
      <x:c r="B153" s="24" t="s">
        <x:v>184</x:v>
      </x:c>
      <x:c r="C153" s="24" t="s">
        <x:v>185</x:v>
      </x:c>
      <x:c r="D153" s="24" t="s">
        <x:v>186</x:v>
      </x:c>
      <x:c r="E153" s="24" t="s">
        <x:v>14</x:v>
      </x:c>
      <x:c r="F153" s="24" t="s">
        <x:v>21</x:v>
      </x:c>
      <x:c r="G153" s="24" t="s">
        <x:v>22</x:v>
      </x:c>
      <x:c r="H153" s="33">
        <x:v>1001</x:v>
      </x:c>
      <x:c r="I153" s="33">
        <x:v>2875613</x:v>
      </x:c>
      <x:c r="J153" s="24"/>
      <x:c r="K153" s="52"/>
      <x:c r="L153" s="52"/>
      <x:c r="M153" s="52"/>
      <x:c r="N153" s="55"/>
      <x:c r="O153" s="59" t="str">
        <x:f t="shared" si="8"/>
      </x:c>
      <x:c r="P153" s="60" t="str">
        <x:f t="shared" si="9"/>
      </x:c>
      <x:c r="Q153" s="63"/>
      <x:c r="R153" s="64"/>
      <x:c r="S153" s="65" t="str">
        <x:f>IF(OR(Q153="",R153=""),"",IF(R153="invalid",0,--(Q153=R153)))</x:f>
      </x:c>
      <x:c r="T153" s="65" t="str">
        <x:f>IF(OR(Q153="",R153=""),"",IF(R153="invalid","invalid",IF(Q153=R153,"agreement",IF(AND(Q153="no",R153="yes"),"false_accept","false_reject"))))</x:f>
      </x:c>
    </x:row>
    <x:row r="154">
      <x:c r="A154" s="24" t="s">
        <x:v>194</x:v>
      </x:c>
      <x:c r="B154" s="24" t="s">
        <x:v>184</x:v>
      </x:c>
      <x:c r="C154" s="24" t="s">
        <x:v>185</x:v>
      </x:c>
      <x:c r="D154" s="24" t="s">
        <x:v>186</x:v>
      </x:c>
      <x:c r="E154" s="24" t="s">
        <x:v>27</x:v>
      </x:c>
      <x:c r="F154" s="24" t="s">
        <x:v>28</x:v>
      </x:c>
      <x:c r="G154" s="24" t="s">
        <x:v>29</x:v>
      </x:c>
      <x:c r="H154" s="33">
        <x:v>1000</x:v>
      </x:c>
      <x:c r="I154" s="33">
        <x:v>8566257</x:v>
      </x:c>
      <x:c r="J154" s="24"/>
      <x:c r="K154" s="52"/>
      <x:c r="L154" s="52"/>
      <x:c r="M154" s="52"/>
      <x:c r="N154" s="55"/>
      <x:c r="O154" s="59" t="str">
        <x:f t="shared" si="8"/>
      </x:c>
      <x:c r="P154" s="60" t="str">
        <x:f t="shared" si="9"/>
      </x:c>
      <x:c r="Q154" s="63"/>
      <x:c r="R154" s="64"/>
      <x:c r="S154" s="65" t="str">
        <x:f>IF(OR(Q154="",R154=""),"",IF(R154="invalid",0,--(Q154=R154)))</x:f>
      </x:c>
      <x:c r="T154" s="65" t="str">
        <x:f>IF(OR(Q154="",R154=""),"",IF(R154="invalid","invalid",IF(Q154=R154,"agreement",IF(AND(Q154="no",R154="yes"),"false_accept","false_reject"))))</x:f>
      </x:c>
    </x:row>
    <x:row r="155">
      <x:c r="A155" s="24" t="s">
        <x:v>195</x:v>
      </x:c>
      <x:c r="B155" s="24" t="s">
        <x:v>184</x:v>
      </x:c>
      <x:c r="C155" s="24" t="s">
        <x:v>185</x:v>
      </x:c>
      <x:c r="D155" s="24" t="s">
        <x:v>186</x:v>
      </x:c>
      <x:c r="E155" s="24" t="s">
        <x:v>27</x:v>
      </x:c>
      <x:c r="F155" s="24" t="s">
        <x:v>28</x:v>
      </x:c>
      <x:c r="G155" s="24" t="s">
        <x:v>29</x:v>
      </x:c>
      <x:c r="H155" s="33">
        <x:v>1000</x:v>
      </x:c>
      <x:c r="I155" s="33">
        <x:v>2875613</x:v>
      </x:c>
      <x:c r="J155" s="24"/>
      <x:c r="K155" s="52"/>
      <x:c r="L155" s="52"/>
      <x:c r="M155" s="52"/>
      <x:c r="N155" s="55"/>
      <x:c r="O155" s="59" t="str">
        <x:f t="shared" si="8"/>
      </x:c>
      <x:c r="P155" s="60" t="str">
        <x:f t="shared" si="9"/>
      </x:c>
      <x:c r="Q155" s="63"/>
      <x:c r="R155" s="64"/>
      <x:c r="S155" s="65" t="str">
        <x:f>IF(OR(Q155="",R155=""),"",IF(R155="invalid",0,--(Q155=R155)))</x:f>
      </x:c>
      <x:c r="T155" s="65" t="str">
        <x:f>IF(OR(Q155="",R155=""),"",IF(R155="invalid","invalid",IF(Q155=R155,"agreement",IF(AND(Q155="no",R155="yes"),"false_accept","false_reject"))))</x:f>
      </x:c>
    </x:row>
    <x:row r="156">
      <x:c r="A156" s="24" t="s">
        <x:v>196</x:v>
      </x:c>
      <x:c r="B156" s="24" t="s">
        <x:v>184</x:v>
      </x:c>
      <x:c r="C156" s="24" t="s">
        <x:v>185</x:v>
      </x:c>
      <x:c r="D156" s="24" t="s">
        <x:v>186</x:v>
      </x:c>
      <x:c r="E156" s="24" t="s">
        <x:v>27</x:v>
      </x:c>
      <x:c r="F156" s="24" t="s">
        <x:v>28</x:v>
      </x:c>
      <x:c r="G156" s="24" t="s">
        <x:v>29</x:v>
      </x:c>
      <x:c r="H156" s="33">
        <x:v>1001</x:v>
      </x:c>
      <x:c r="I156" s="33">
        <x:v>8566257</x:v>
      </x:c>
      <x:c r="J156" s="24"/>
      <x:c r="K156" s="52"/>
      <x:c r="L156" s="52"/>
      <x:c r="M156" s="52"/>
      <x:c r="N156" s="55"/>
      <x:c r="O156" s="59" t="str">
        <x:f t="shared" si="8"/>
      </x:c>
      <x:c r="P156" s="60" t="str">
        <x:f t="shared" si="9"/>
      </x:c>
      <x:c r="Q156" s="63"/>
      <x:c r="R156" s="64"/>
      <x:c r="S156" s="65" t="str">
        <x:f>IF(OR(Q156="",R156=""),"",IF(R156="invalid",0,--(Q156=R156)))</x:f>
      </x:c>
      <x:c r="T156" s="65" t="str">
        <x:f>IF(OR(Q156="",R156=""),"",IF(R156="invalid","invalid",IF(Q156=R156,"agreement",IF(AND(Q156="no",R156="yes"),"false_accept","false_reject"))))</x:f>
      </x:c>
    </x:row>
    <x:row r="157">
      <x:c r="A157" s="24" t="s">
        <x:v>197</x:v>
      </x:c>
      <x:c r="B157" s="24" t="s">
        <x:v>184</x:v>
      </x:c>
      <x:c r="C157" s="24" t="s">
        <x:v>185</x:v>
      </x:c>
      <x:c r="D157" s="24" t="s">
        <x:v>186</x:v>
      </x:c>
      <x:c r="E157" s="24" t="s">
        <x:v>27</x:v>
      </x:c>
      <x:c r="F157" s="24" t="s">
        <x:v>28</x:v>
      </x:c>
      <x:c r="G157" s="24" t="s">
        <x:v>29</x:v>
      </x:c>
      <x:c r="H157" s="33">
        <x:v>1001</x:v>
      </x:c>
      <x:c r="I157" s="33">
        <x:v>2875613</x:v>
      </x:c>
      <x:c r="J157" s="24"/>
      <x:c r="K157" s="52"/>
      <x:c r="L157" s="52"/>
      <x:c r="M157" s="52"/>
      <x:c r="N157" s="55"/>
      <x:c r="O157" s="59" t="str">
        <x:f t="shared" si="8"/>
      </x:c>
      <x:c r="P157" s="60" t="str">
        <x:f t="shared" si="9"/>
      </x:c>
      <x:c r="Q157" s="63"/>
      <x:c r="R157" s="64"/>
      <x:c r="S157" s="65" t="str">
        <x:f>IF(OR(Q157="",R157=""),"",IF(R157="invalid",0,--(Q157=R157)))</x:f>
      </x:c>
      <x:c r="T157" s="65" t="str">
        <x:f>IF(OR(Q157="",R157=""),"",IF(R157="invalid","invalid",IF(Q157=R157,"agreement",IF(AND(Q157="no",R157="yes"),"false_accept","false_reject"))))</x:f>
      </x:c>
    </x:row>
    <x:row r="158">
      <x:c r="A158" s="24" t="s">
        <x:v>198</x:v>
      </x:c>
      <x:c r="B158" s="24" t="s">
        <x:v>184</x:v>
      </x:c>
      <x:c r="C158" s="24" t="s">
        <x:v>185</x:v>
      </x:c>
      <x:c r="D158" s="24" t="s">
        <x:v>186</x:v>
      </x:c>
      <x:c r="E158" s="24" t="s">
        <x:v>27</x:v>
      </x:c>
      <x:c r="F158" s="24" t="s">
        <x:v>34</x:v>
      </x:c>
      <x:c r="G158" s="24" t="s">
        <x:v>35</x:v>
      </x:c>
      <x:c r="H158" s="33">
        <x:v>1000</x:v>
      </x:c>
      <x:c r="I158" s="33">
        <x:v>8566257</x:v>
      </x:c>
      <x:c r="J158" s="24"/>
      <x:c r="K158" s="52"/>
      <x:c r="L158" s="52"/>
      <x:c r="M158" s="52"/>
      <x:c r="N158" s="55"/>
      <x:c r="O158" s="59" t="str">
        <x:f t="shared" si="8"/>
      </x:c>
      <x:c r="P158" s="60" t="str">
        <x:f t="shared" si="9"/>
      </x:c>
      <x:c r="Q158" s="63"/>
      <x:c r="R158" s="64"/>
      <x:c r="S158" s="65" t="str">
        <x:f>IF(OR(Q158="",R158=""),"",IF(R158="invalid",0,--(Q158=R158)))</x:f>
      </x:c>
      <x:c r="T158" s="65" t="str">
        <x:f>IF(OR(Q158="",R158=""),"",IF(R158="invalid","invalid",IF(Q158=R158,"agreement",IF(AND(Q158="no",R158="yes"),"false_accept","false_reject"))))</x:f>
      </x:c>
    </x:row>
    <x:row r="159">
      <x:c r="A159" s="24" t="s">
        <x:v>199</x:v>
      </x:c>
      <x:c r="B159" s="24" t="s">
        <x:v>184</x:v>
      </x:c>
      <x:c r="C159" s="24" t="s">
        <x:v>185</x:v>
      </x:c>
      <x:c r="D159" s="24" t="s">
        <x:v>186</x:v>
      </x:c>
      <x:c r="E159" s="24" t="s">
        <x:v>27</x:v>
      </x:c>
      <x:c r="F159" s="24" t="s">
        <x:v>34</x:v>
      </x:c>
      <x:c r="G159" s="24" t="s">
        <x:v>35</x:v>
      </x:c>
      <x:c r="H159" s="33">
        <x:v>1000</x:v>
      </x:c>
      <x:c r="I159" s="33">
        <x:v>2875613</x:v>
      </x:c>
      <x:c r="J159" s="24"/>
      <x:c r="K159" s="52"/>
      <x:c r="L159" s="52"/>
      <x:c r="M159" s="52"/>
      <x:c r="N159" s="55"/>
      <x:c r="O159" s="59" t="str">
        <x:f t="shared" si="8"/>
      </x:c>
      <x:c r="P159" s="60" t="str">
        <x:f t="shared" si="9"/>
      </x:c>
      <x:c r="Q159" s="63"/>
      <x:c r="R159" s="64"/>
      <x:c r="S159" s="65" t="str">
        <x:f>IF(OR(Q159="",R159=""),"",IF(R159="invalid",0,--(Q159=R159)))</x:f>
      </x:c>
      <x:c r="T159" s="65" t="str">
        <x:f>IF(OR(Q159="",R159=""),"",IF(R159="invalid","invalid",IF(Q159=R159,"agreement",IF(AND(Q159="no",R159="yes"),"false_accept","false_reject"))))</x:f>
      </x:c>
    </x:row>
    <x:row r="160">
      <x:c r="A160" s="24" t="s">
        <x:v>200</x:v>
      </x:c>
      <x:c r="B160" s="24" t="s">
        <x:v>184</x:v>
      </x:c>
      <x:c r="C160" s="24" t="s">
        <x:v>185</x:v>
      </x:c>
      <x:c r="D160" s="24" t="s">
        <x:v>186</x:v>
      </x:c>
      <x:c r="E160" s="24" t="s">
        <x:v>27</x:v>
      </x:c>
      <x:c r="F160" s="24" t="s">
        <x:v>34</x:v>
      </x:c>
      <x:c r="G160" s="24" t="s">
        <x:v>35</x:v>
      </x:c>
      <x:c r="H160" s="33">
        <x:v>1001</x:v>
      </x:c>
      <x:c r="I160" s="33">
        <x:v>8566257</x:v>
      </x:c>
      <x:c r="J160" s="24"/>
      <x:c r="K160" s="52"/>
      <x:c r="L160" s="52"/>
      <x:c r="M160" s="52"/>
      <x:c r="N160" s="55"/>
      <x:c r="O160" s="59" t="str">
        <x:f t="shared" si="8"/>
      </x:c>
      <x:c r="P160" s="60" t="str">
        <x:f t="shared" si="9"/>
      </x:c>
      <x:c r="Q160" s="63"/>
      <x:c r="R160" s="64"/>
      <x:c r="S160" s="65" t="str">
        <x:f>IF(OR(Q160="",R160=""),"",IF(R160="invalid",0,--(Q160=R160)))</x:f>
      </x:c>
      <x:c r="T160" s="65" t="str">
        <x:f>IF(OR(Q160="",R160=""),"",IF(R160="invalid","invalid",IF(Q160=R160,"agreement",IF(AND(Q160="no",R160="yes"),"false_accept","false_reject"))))</x:f>
      </x:c>
    </x:row>
    <x:row r="161">
      <x:c r="A161" s="24" t="s">
        <x:v>201</x:v>
      </x:c>
      <x:c r="B161" s="24" t="s">
        <x:v>184</x:v>
      </x:c>
      <x:c r="C161" s="24" t="s">
        <x:v>185</x:v>
      </x:c>
      <x:c r="D161" s="24" t="s">
        <x:v>186</x:v>
      </x:c>
      <x:c r="E161" s="24" t="s">
        <x:v>27</x:v>
      </x:c>
      <x:c r="F161" s="24" t="s">
        <x:v>34</x:v>
      </x:c>
      <x:c r="G161" s="24" t="s">
        <x:v>35</x:v>
      </x:c>
      <x:c r="H161" s="33">
        <x:v>1001</x:v>
      </x:c>
      <x:c r="I161" s="33">
        <x:v>2875613</x:v>
      </x:c>
      <x:c r="J161" s="24"/>
      <x:c r="K161" s="52"/>
      <x:c r="L161" s="52"/>
      <x:c r="M161" s="52"/>
      <x:c r="N161" s="55"/>
      <x:c r="O161" s="59" t="str">
        <x:f t="shared" si="8"/>
      </x:c>
      <x:c r="P161" s="60" t="str">
        <x:f t="shared" si="9"/>
      </x:c>
      <x:c r="Q161" s="63"/>
      <x:c r="R161" s="64"/>
      <x:c r="S161" s="65" t="str">
        <x:f>IF(OR(Q161="",R161=""),"",IF(R161="invalid",0,--(Q161=R161)))</x:f>
      </x:c>
      <x:c r="T161" s="65" t="str">
        <x:f>IF(OR(Q161="",R161=""),"",IF(R161="invalid","invalid",IF(Q161=R161,"agreement",IF(AND(Q161="no",R161="yes"),"false_accept","false_reject"))))</x:f>
      </x:c>
    </x:row>
    <x:row r="162">
      <x:c r="A162" s="24" t="s">
        <x:v>202</x:v>
      </x:c>
      <x:c r="B162" s="24" t="s">
        <x:v>184</x:v>
      </x:c>
      <x:c r="C162" s="24" t="s">
        <x:v>185</x:v>
      </x:c>
      <x:c r="D162" s="24" t="s">
        <x:v>186</x:v>
      </x:c>
      <x:c r="E162" s="24" t="s">
        <x:v>40</x:v>
      </x:c>
      <x:c r="F162" s="24" t="s">
        <x:v>41</x:v>
      </x:c>
      <x:c r="G162" s="24" t="s">
        <x:v>42</x:v>
      </x:c>
      <x:c r="H162" s="33">
        <x:v>1000</x:v>
      </x:c>
      <x:c r="I162" s="33">
        <x:v>8566257</x:v>
      </x:c>
      <x:c r="J162" s="24"/>
      <x:c r="K162" s="52"/>
      <x:c r="L162" s="52"/>
      <x:c r="M162" s="52"/>
      <x:c r="N162" s="55"/>
      <x:c r="O162" s="59" t="str">
        <x:f t="shared" ref="O162:O169" si="10">IF(OR(K162="",N162=""),"",IF(N162="invalid",0,--(K162=N162)))</x:f>
      </x:c>
      <x:c r="P162" s="60" t="str">
        <x:f t="shared" ref="P162:P169" si="11">IF(OR(K162="",N162=""),"",IF(N162="invalid","invalid",IF(K162=N162,"agreement",IF(AND(K162="no",N162="yes"),"false_accept","false_reject"))))</x:f>
      </x:c>
      <x:c r="Q162" s="63"/>
      <x:c r="R162" s="64"/>
      <x:c r="S162" s="65" t="str">
        <x:f>IF(OR(Q162="",R162=""),"",IF(R162="invalid",0,--(Q162=R162)))</x:f>
      </x:c>
      <x:c r="T162" s="65" t="str">
        <x:f>IF(OR(Q162="",R162=""),"",IF(R162="invalid","invalid",IF(Q162=R162,"agreement",IF(AND(Q162="no",R162="yes"),"false_accept","false_reject"))))</x:f>
      </x:c>
    </x:row>
    <x:row r="163">
      <x:c r="A163" s="24" t="s">
        <x:v>203</x:v>
      </x:c>
      <x:c r="B163" s="24" t="s">
        <x:v>184</x:v>
      </x:c>
      <x:c r="C163" s="24" t="s">
        <x:v>185</x:v>
      </x:c>
      <x:c r="D163" s="24" t="s">
        <x:v>186</x:v>
      </x:c>
      <x:c r="E163" s="24" t="s">
        <x:v>40</x:v>
      </x:c>
      <x:c r="F163" s="24" t="s">
        <x:v>41</x:v>
      </x:c>
      <x:c r="G163" s="24" t="s">
        <x:v>42</x:v>
      </x:c>
      <x:c r="H163" s="33">
        <x:v>1000</x:v>
      </x:c>
      <x:c r="I163" s="33">
        <x:v>2875613</x:v>
      </x:c>
      <x:c r="J163" s="24"/>
      <x:c r="K163" s="52"/>
      <x:c r="L163" s="52"/>
      <x:c r="M163" s="52"/>
      <x:c r="N163" s="55"/>
      <x:c r="O163" s="59" t="str">
        <x:f t="shared" si="10"/>
      </x:c>
      <x:c r="P163" s="60" t="str">
        <x:f t="shared" si="11"/>
      </x:c>
      <x:c r="Q163" s="63"/>
      <x:c r="R163" s="64"/>
      <x:c r="S163" s="65" t="str">
        <x:f>IF(OR(Q163="",R163=""),"",IF(R163="invalid",0,--(Q163=R163)))</x:f>
      </x:c>
      <x:c r="T163" s="65" t="str">
        <x:f>IF(OR(Q163="",R163=""),"",IF(R163="invalid","invalid",IF(Q163=R163,"agreement",IF(AND(Q163="no",R163="yes"),"false_accept","false_reject"))))</x:f>
      </x:c>
    </x:row>
    <x:row r="164">
      <x:c r="A164" s="24" t="s">
        <x:v>204</x:v>
      </x:c>
      <x:c r="B164" s="24" t="s">
        <x:v>184</x:v>
      </x:c>
      <x:c r="C164" s="24" t="s">
        <x:v>185</x:v>
      </x:c>
      <x:c r="D164" s="24" t="s">
        <x:v>186</x:v>
      </x:c>
      <x:c r="E164" s="24" t="s">
        <x:v>40</x:v>
      </x:c>
      <x:c r="F164" s="24" t="s">
        <x:v>41</x:v>
      </x:c>
      <x:c r="G164" s="24" t="s">
        <x:v>42</x:v>
      </x:c>
      <x:c r="H164" s="33">
        <x:v>1001</x:v>
      </x:c>
      <x:c r="I164" s="33">
        <x:v>8566257</x:v>
      </x:c>
      <x:c r="J164" s="24"/>
      <x:c r="K164" s="52"/>
      <x:c r="L164" s="52"/>
      <x:c r="M164" s="52"/>
      <x:c r="N164" s="55"/>
      <x:c r="O164" s="59" t="str">
        <x:f t="shared" si="10"/>
      </x:c>
      <x:c r="P164" s="60" t="str">
        <x:f t="shared" si="11"/>
      </x:c>
      <x:c r="Q164" s="63"/>
      <x:c r="R164" s="64"/>
      <x:c r="S164" s="65" t="str">
        <x:f>IF(OR(Q164="",R164=""),"",IF(R164="invalid",0,--(Q164=R164)))</x:f>
      </x:c>
      <x:c r="T164" s="65" t="str">
        <x:f>IF(OR(Q164="",R164=""),"",IF(R164="invalid","invalid",IF(Q164=R164,"agreement",IF(AND(Q164="no",R164="yes"),"false_accept","false_reject"))))</x:f>
      </x:c>
    </x:row>
    <x:row r="165">
      <x:c r="A165" s="24" t="s">
        <x:v>205</x:v>
      </x:c>
      <x:c r="B165" s="24" t="s">
        <x:v>184</x:v>
      </x:c>
      <x:c r="C165" s="24" t="s">
        <x:v>185</x:v>
      </x:c>
      <x:c r="D165" s="24" t="s">
        <x:v>186</x:v>
      </x:c>
      <x:c r="E165" s="24" t="s">
        <x:v>40</x:v>
      </x:c>
      <x:c r="F165" s="24" t="s">
        <x:v>41</x:v>
      </x:c>
      <x:c r="G165" s="24" t="s">
        <x:v>42</x:v>
      </x:c>
      <x:c r="H165" s="33">
        <x:v>1001</x:v>
      </x:c>
      <x:c r="I165" s="33">
        <x:v>2875613</x:v>
      </x:c>
      <x:c r="J165" s="24"/>
      <x:c r="K165" s="52"/>
      <x:c r="L165" s="52"/>
      <x:c r="M165" s="52"/>
      <x:c r="N165" s="55"/>
      <x:c r="O165" s="59" t="str">
        <x:f t="shared" si="10"/>
      </x:c>
      <x:c r="P165" s="60" t="str">
        <x:f t="shared" si="11"/>
      </x:c>
      <x:c r="Q165" s="63"/>
      <x:c r="R165" s="64"/>
      <x:c r="S165" s="65" t="str">
        <x:f>IF(OR(Q165="",R165=""),"",IF(R165="invalid",0,--(Q165=R165)))</x:f>
      </x:c>
      <x:c r="T165" s="65" t="str">
        <x:f>IF(OR(Q165="",R165=""),"",IF(R165="invalid","invalid",IF(Q165=R165,"agreement",IF(AND(Q165="no",R165="yes"),"false_accept","false_reject"))))</x:f>
      </x:c>
    </x:row>
    <x:row r="166">
      <x:c r="A166" s="24" t="s">
        <x:v>206</x:v>
      </x:c>
      <x:c r="B166" s="24" t="s">
        <x:v>184</x:v>
      </x:c>
      <x:c r="C166" s="24" t="s">
        <x:v>185</x:v>
      </x:c>
      <x:c r="D166" s="24" t="s">
        <x:v>186</x:v>
      </x:c>
      <x:c r="E166" s="24" t="s">
        <x:v>40</x:v>
      </x:c>
      <x:c r="F166" s="24" t="s">
        <x:v>47</x:v>
      </x:c>
      <x:c r="G166" s="24" t="s">
        <x:v>48</x:v>
      </x:c>
      <x:c r="H166" s="33">
        <x:v>1000</x:v>
      </x:c>
      <x:c r="I166" s="33">
        <x:v>8566257</x:v>
      </x:c>
      <x:c r="J166" s="24"/>
      <x:c r="K166" s="52"/>
      <x:c r="L166" s="52"/>
      <x:c r="M166" s="52"/>
      <x:c r="N166" s="55"/>
      <x:c r="O166" s="59" t="str">
        <x:f t="shared" si="10"/>
      </x:c>
      <x:c r="P166" s="60" t="str">
        <x:f t="shared" si="11"/>
      </x:c>
      <x:c r="Q166" s="63"/>
      <x:c r="R166" s="64"/>
      <x:c r="S166" s="65" t="str">
        <x:f>IF(OR(Q166="",R166=""),"",IF(R166="invalid",0,--(Q166=R166)))</x:f>
      </x:c>
      <x:c r="T166" s="65" t="str">
        <x:f>IF(OR(Q166="",R166=""),"",IF(R166="invalid","invalid",IF(Q166=R166,"agreement",IF(AND(Q166="no",R166="yes"),"false_accept","false_reject"))))</x:f>
      </x:c>
    </x:row>
    <x:row r="167">
      <x:c r="A167" s="24" t="s">
        <x:v>207</x:v>
      </x:c>
      <x:c r="B167" s="24" t="s">
        <x:v>184</x:v>
      </x:c>
      <x:c r="C167" s="24" t="s">
        <x:v>185</x:v>
      </x:c>
      <x:c r="D167" s="24" t="s">
        <x:v>186</x:v>
      </x:c>
      <x:c r="E167" s="24" t="s">
        <x:v>40</x:v>
      </x:c>
      <x:c r="F167" s="24" t="s">
        <x:v>47</x:v>
      </x:c>
      <x:c r="G167" s="24" t="s">
        <x:v>48</x:v>
      </x:c>
      <x:c r="H167" s="33">
        <x:v>1000</x:v>
      </x:c>
      <x:c r="I167" s="33">
        <x:v>2875613</x:v>
      </x:c>
      <x:c r="J167" s="24"/>
      <x:c r="K167" s="52"/>
      <x:c r="L167" s="52"/>
      <x:c r="M167" s="52"/>
      <x:c r="N167" s="55"/>
      <x:c r="O167" s="59" t="str">
        <x:f t="shared" si="10"/>
      </x:c>
      <x:c r="P167" s="60" t="str">
        <x:f t="shared" si="11"/>
      </x:c>
      <x:c r="Q167" s="63"/>
      <x:c r="R167" s="64"/>
      <x:c r="S167" s="65" t="str">
        <x:f>IF(OR(Q167="",R167=""),"",IF(R167="invalid",0,--(Q167=R167)))</x:f>
      </x:c>
      <x:c r="T167" s="65" t="str">
        <x:f>IF(OR(Q167="",R167=""),"",IF(R167="invalid","invalid",IF(Q167=R167,"agreement",IF(AND(Q167="no",R167="yes"),"false_accept","false_reject"))))</x:f>
      </x:c>
    </x:row>
    <x:row r="168">
      <x:c r="A168" s="24" t="s">
        <x:v>208</x:v>
      </x:c>
      <x:c r="B168" s="24" t="s">
        <x:v>184</x:v>
      </x:c>
      <x:c r="C168" s="24" t="s">
        <x:v>185</x:v>
      </x:c>
      <x:c r="D168" s="24" t="s">
        <x:v>186</x:v>
      </x:c>
      <x:c r="E168" s="24" t="s">
        <x:v>40</x:v>
      </x:c>
      <x:c r="F168" s="24" t="s">
        <x:v>47</x:v>
      </x:c>
      <x:c r="G168" s="24" t="s">
        <x:v>48</x:v>
      </x:c>
      <x:c r="H168" s="33">
        <x:v>1001</x:v>
      </x:c>
      <x:c r="I168" s="33">
        <x:v>8566257</x:v>
      </x:c>
      <x:c r="J168" s="24"/>
      <x:c r="K168" s="52"/>
      <x:c r="L168" s="52"/>
      <x:c r="M168" s="52"/>
      <x:c r="N168" s="55"/>
      <x:c r="O168" s="59" t="str">
        <x:f t="shared" si="10"/>
      </x:c>
      <x:c r="P168" s="60" t="str">
        <x:f t="shared" si="11"/>
      </x:c>
      <x:c r="Q168" s="63"/>
      <x:c r="R168" s="64"/>
      <x:c r="S168" s="65" t="str">
        <x:f>IF(OR(Q168="",R168=""),"",IF(R168="invalid",0,--(Q168=R168)))</x:f>
      </x:c>
      <x:c r="T168" s="65" t="str">
        <x:f>IF(OR(Q168="",R168=""),"",IF(R168="invalid","invalid",IF(Q168=R168,"agreement",IF(AND(Q168="no",R168="yes"),"false_accept","false_reject"))))</x:f>
      </x:c>
    </x:row>
    <x:row r="169">
      <x:c r="A169" s="28" t="s">
        <x:v>209</x:v>
      </x:c>
      <x:c r="B169" s="28" t="s">
        <x:v>184</x:v>
      </x:c>
      <x:c r="C169" s="28" t="s">
        <x:v>185</x:v>
      </x:c>
      <x:c r="D169" s="28" t="s">
        <x:v>186</x:v>
      </x:c>
      <x:c r="E169" s="28" t="s">
        <x:v>40</x:v>
      </x:c>
      <x:c r="F169" s="28" t="s">
        <x:v>47</x:v>
      </x:c>
      <x:c r="G169" s="28" t="s">
        <x:v>48</x:v>
      </x:c>
      <x:c r="H169" s="34">
        <x:v>1001</x:v>
      </x:c>
      <x:c r="I169" s="34">
        <x:v>2875613</x:v>
      </x:c>
      <x:c r="J169" s="28"/>
      <x:c r="K169" s="53"/>
      <x:c r="L169" s="53"/>
      <x:c r="M169" s="53"/>
      <x:c r="N169" s="56"/>
      <x:c r="O169" s="61" t="str">
        <x:f t="shared" si="10"/>
      </x:c>
      <x:c r="P169" s="62" t="str">
        <x:f t="shared" si="11"/>
      </x:c>
      <x:c r="Q169" s="63"/>
      <x:c r="R169" s="64"/>
      <x:c r="S169" s="65" t="str">
        <x:f>IF(OR(Q169="",R169=""),"",IF(R169="invalid",0,--(Q169=R169)))</x:f>
      </x:c>
      <x:c r="T169" s="65" t="str">
        <x:f>IF(OR(Q169="",R169=""),"",IF(R169="invalid","invalid",IF(Q169=R169,"agreement",IF(AND(Q169="no",R169="yes"),"false_accept","false_reject"))))</x:f>
      </x:c>
    </x:row>
  </x:sheetData>
  <x:conditionalFormatting sqref="P2:P169">
    <x:cfRule type="containsText" dxfId="2" priority="1" operator="containsText" text="agreement"/>
    <x:cfRule type="containsText" dxfId="1" priority="2" operator="containsText" text="false_"/>
    <x:cfRule type="containsText" dxfId="0" priority="3" operator="containsText" text="invalid"/>
  </x:conditionalFormatting>
  <x:dataValidations count="5">
    <x:dataValidation type="list" sqref="K2:K169">
      <x:formula1>"yes,no"</x:formula1>
    </x:dataValidation>
    <x:dataValidation type="list" sqref="L2:L169">
      <x:formula1>"none,ambiguous_or_pseudo,clear_meaningful"</x:formula1>
    </x:dataValidation>
    <x:dataValidation type="list" sqref="N2:N169">
      <x:formula1>"yes,no,invalid"</x:formula1>
    </x:dataValidation>
    <x:dataValidation type="list" sqref="Q2:Q169">
      <x:formula1>"yes,no"</x:formula1>
    </x:dataValidation>
    <x:dataValidation type="list" sqref="R2:R169">
      <x:formula1>"yes,no,invalid"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3eaacea0364a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1" customWidth="1"/>
    <x:col min="2" max="2" width="16" customWidth="1"/>
    <x:col min="3" max="3" width="32" customWidth="1"/>
    <x:col min="4" max="5" width="12" customWidth="1"/>
    <x:col min="6" max="6" width="22" customWidth="1"/>
    <x:col min="7" max="7" width="28" customWidth="1"/>
    <x:col min="8" max="9" width="13" customWidth="1"/>
    <x:col min="10" max="10" width="34" customWidth="1"/>
    <x:col min="11" max="12" width="16" customWidth="1"/>
    <x:col min="13" max="13" width="36" customWidth="1"/>
  </x:cols>
  <x:sheetData>
    <x:row r="1" ht="32" customHeight="1">
      <x:c r="A1" s="11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2" t="s">
        <x:v>7</x:v>
      </x:c>
      <x:c r="I1" s="12" t="s">
        <x:v>8</x:v>
      </x:c>
      <x:c r="J1" s="12" t="s">
        <x:v>9</x:v>
      </x:c>
      <x:c r="K1" s="12" t="s">
        <x:v>210</x:v>
      </x:c>
      <x:c r="L1" s="12" t="s">
        <x:v>211</x:v>
      </x:c>
      <x:c r="M1" s="13" t="s">
        <x:v>212</x:v>
      </x:c>
    </x:row>
    <x:row r="2">
      <x:c r="A2" s="14" t="s">
        <x:v>213</x:v>
      </x:c>
      <x:c r="B2" s="14" t="s">
        <x:v>214</x:v>
      </x:c>
      <x:c r="C2" s="14" t="s">
        <x:v>12</x:v>
      </x:c>
      <x:c r="D2" s="14" t="s">
        <x:v>13</x:v>
      </x:c>
      <x:c r="E2" s="14" t="s">
        <x:v>14</x:v>
      </x:c>
      <x:c r="F2" s="14" t="s">
        <x:v>15</x:v>
      </x:c>
      <x:c r="G2" s="14" t="s">
        <x:v>16</x:v>
      </x:c>
      <x:c r="H2" s="38">
        <x:v>1000</x:v>
      </x:c>
      <x:c r="I2" s="38">
        <x:v>8566257</x:v>
      </x:c>
      <x:c r="J2" s="14"/>
      <x:c r="K2" s="66"/>
      <x:c r="L2" s="66"/>
      <x:c r="M2" s="66"/>
    </x:row>
    <x:row r="3">
      <x:c r="A3" s="16" t="s">
        <x:v>215</x:v>
      </x:c>
      <x:c r="B3" s="16" t="s">
        <x:v>214</x:v>
      </x:c>
      <x:c r="C3" s="16" t="s">
        <x:v>12</x:v>
      </x:c>
      <x:c r="D3" s="16" t="s">
        <x:v>13</x:v>
      </x:c>
      <x:c r="E3" s="16" t="s">
        <x:v>14</x:v>
      </x:c>
      <x:c r="F3" s="16" t="s">
        <x:v>21</x:v>
      </x:c>
      <x:c r="G3" s="16" t="s">
        <x:v>22</x:v>
      </x:c>
      <x:c r="H3" s="39">
        <x:v>1001</x:v>
      </x:c>
      <x:c r="I3" s="39">
        <x:v>2875613</x:v>
      </x:c>
      <x:c r="J3" s="16"/>
      <x:c r="K3" s="67"/>
      <x:c r="L3" s="67"/>
      <x:c r="M3" s="67"/>
    </x:row>
    <x:row r="4">
      <x:c r="A4" s="16" t="s">
        <x:v>216</x:v>
      </x:c>
      <x:c r="B4" s="16" t="s">
        <x:v>214</x:v>
      </x:c>
      <x:c r="C4" s="16" t="s">
        <x:v>12</x:v>
      </x:c>
      <x:c r="D4" s="16" t="s">
        <x:v>13</x:v>
      </x:c>
      <x:c r="E4" s="16" t="s">
        <x:v>27</x:v>
      </x:c>
      <x:c r="F4" s="16" t="s">
        <x:v>28</x:v>
      </x:c>
      <x:c r="G4" s="16" t="s">
        <x:v>29</x:v>
      </x:c>
      <x:c r="H4" s="39">
        <x:v>1000</x:v>
      </x:c>
      <x:c r="I4" s="39">
        <x:v>8566257</x:v>
      </x:c>
      <x:c r="J4" s="16"/>
      <x:c r="K4" s="67"/>
      <x:c r="L4" s="67"/>
      <x:c r="M4" s="67"/>
    </x:row>
    <x:row r="5">
      <x:c r="A5" s="16" t="s">
        <x:v>217</x:v>
      </x:c>
      <x:c r="B5" s="16" t="s">
        <x:v>214</x:v>
      </x:c>
      <x:c r="C5" s="16" t="s">
        <x:v>12</x:v>
      </x:c>
      <x:c r="D5" s="16" t="s">
        <x:v>13</x:v>
      </x:c>
      <x:c r="E5" s="16" t="s">
        <x:v>27</x:v>
      </x:c>
      <x:c r="F5" s="16" t="s">
        <x:v>34</x:v>
      </x:c>
      <x:c r="G5" s="16" t="s">
        <x:v>35</x:v>
      </x:c>
      <x:c r="H5" s="39">
        <x:v>1001</x:v>
      </x:c>
      <x:c r="I5" s="39">
        <x:v>2875613</x:v>
      </x:c>
      <x:c r="J5" s="16"/>
      <x:c r="K5" s="67"/>
      <x:c r="L5" s="67"/>
      <x:c r="M5" s="67"/>
    </x:row>
    <x:row r="6">
      <x:c r="A6" s="16" t="s">
        <x:v>218</x:v>
      </x:c>
      <x:c r="B6" s="16" t="s">
        <x:v>214</x:v>
      </x:c>
      <x:c r="C6" s="16" t="s">
        <x:v>12</x:v>
      </x:c>
      <x:c r="D6" s="16" t="s">
        <x:v>13</x:v>
      </x:c>
      <x:c r="E6" s="16" t="s">
        <x:v>40</x:v>
      </x:c>
      <x:c r="F6" s="16" t="s">
        <x:v>41</x:v>
      </x:c>
      <x:c r="G6" s="16" t="s">
        <x:v>42</x:v>
      </x:c>
      <x:c r="H6" s="39">
        <x:v>1000</x:v>
      </x:c>
      <x:c r="I6" s="39">
        <x:v>8566257</x:v>
      </x:c>
      <x:c r="J6" s="16"/>
      <x:c r="K6" s="67"/>
      <x:c r="L6" s="67"/>
      <x:c r="M6" s="67"/>
    </x:row>
    <x:row r="7">
      <x:c r="A7" s="16" t="s">
        <x:v>219</x:v>
      </x:c>
      <x:c r="B7" s="16" t="s">
        <x:v>214</x:v>
      </x:c>
      <x:c r="C7" s="16" t="s">
        <x:v>12</x:v>
      </x:c>
      <x:c r="D7" s="16" t="s">
        <x:v>13</x:v>
      </x:c>
      <x:c r="E7" s="16" t="s">
        <x:v>40</x:v>
      </x:c>
      <x:c r="F7" s="16" t="s">
        <x:v>47</x:v>
      </x:c>
      <x:c r="G7" s="16" t="s">
        <x:v>48</x:v>
      </x:c>
      <x:c r="H7" s="39">
        <x:v>1001</x:v>
      </x:c>
      <x:c r="I7" s="39">
        <x:v>2875613</x:v>
      </x:c>
      <x:c r="J7" s="16"/>
      <x:c r="K7" s="67"/>
      <x:c r="L7" s="67"/>
      <x:c r="M7" s="67"/>
    </x:row>
    <x:row r="8">
      <x:c r="A8" s="16" t="s">
        <x:v>220</x:v>
      </x:c>
      <x:c r="B8" s="16" t="s">
        <x:v>214</x:v>
      </x:c>
      <x:c r="C8" s="16" t="s">
        <x:v>53</x:v>
      </x:c>
      <x:c r="D8" s="16" t="s">
        <x:v>54</x:v>
      </x:c>
      <x:c r="E8" s="16" t="s">
        <x:v>14</x:v>
      </x:c>
      <x:c r="F8" s="16" t="s">
        <x:v>15</x:v>
      </x:c>
      <x:c r="G8" s="16" t="s">
        <x:v>16</x:v>
      </x:c>
      <x:c r="H8" s="39">
        <x:v>1000</x:v>
      </x:c>
      <x:c r="I8" s="39">
        <x:v>8566257</x:v>
      </x:c>
      <x:c r="J8" s="16"/>
      <x:c r="K8" s="67"/>
      <x:c r="L8" s="67"/>
      <x:c r="M8" s="67"/>
    </x:row>
    <x:row r="9">
      <x:c r="A9" s="16" t="s">
        <x:v>221</x:v>
      </x:c>
      <x:c r="B9" s="16" t="s">
        <x:v>214</x:v>
      </x:c>
      <x:c r="C9" s="16" t="s">
        <x:v>53</x:v>
      </x:c>
      <x:c r="D9" s="16" t="s">
        <x:v>54</x:v>
      </x:c>
      <x:c r="E9" s="16" t="s">
        <x:v>14</x:v>
      </x:c>
      <x:c r="F9" s="16" t="s">
        <x:v>21</x:v>
      </x:c>
      <x:c r="G9" s="16" t="s">
        <x:v>22</x:v>
      </x:c>
      <x:c r="H9" s="39">
        <x:v>1001</x:v>
      </x:c>
      <x:c r="I9" s="39">
        <x:v>2875613</x:v>
      </x:c>
      <x:c r="J9" s="16"/>
      <x:c r="K9" s="67"/>
      <x:c r="L9" s="67"/>
      <x:c r="M9" s="67"/>
    </x:row>
    <x:row r="10">
      <x:c r="A10" s="16" t="s">
        <x:v>222</x:v>
      </x:c>
      <x:c r="B10" s="16" t="s">
        <x:v>214</x:v>
      </x:c>
      <x:c r="C10" s="16" t="s">
        <x:v>53</x:v>
      </x:c>
      <x:c r="D10" s="16" t="s">
        <x:v>54</x:v>
      </x:c>
      <x:c r="E10" s="16" t="s">
        <x:v>27</x:v>
      </x:c>
      <x:c r="F10" s="16" t="s">
        <x:v>28</x:v>
      </x:c>
      <x:c r="G10" s="16" t="s">
        <x:v>29</x:v>
      </x:c>
      <x:c r="H10" s="39">
        <x:v>1000</x:v>
      </x:c>
      <x:c r="I10" s="39">
        <x:v>8566257</x:v>
      </x:c>
      <x:c r="J10" s="16"/>
      <x:c r="K10" s="67"/>
      <x:c r="L10" s="67"/>
      <x:c r="M10" s="67"/>
    </x:row>
    <x:row r="11">
      <x:c r="A11" s="16" t="s">
        <x:v>223</x:v>
      </x:c>
      <x:c r="B11" s="16" t="s">
        <x:v>214</x:v>
      </x:c>
      <x:c r="C11" s="16" t="s">
        <x:v>53</x:v>
      </x:c>
      <x:c r="D11" s="16" t="s">
        <x:v>54</x:v>
      </x:c>
      <x:c r="E11" s="16" t="s">
        <x:v>27</x:v>
      </x:c>
      <x:c r="F11" s="16" t="s">
        <x:v>34</x:v>
      </x:c>
      <x:c r="G11" s="16" t="s">
        <x:v>35</x:v>
      </x:c>
      <x:c r="H11" s="39">
        <x:v>1001</x:v>
      </x:c>
      <x:c r="I11" s="39">
        <x:v>2875613</x:v>
      </x:c>
      <x:c r="J11" s="16"/>
      <x:c r="K11" s="67"/>
      <x:c r="L11" s="67"/>
      <x:c r="M11" s="67"/>
    </x:row>
    <x:row r="12">
      <x:c r="A12" s="16" t="s">
        <x:v>224</x:v>
      </x:c>
      <x:c r="B12" s="16" t="s">
        <x:v>214</x:v>
      </x:c>
      <x:c r="C12" s="16" t="s">
        <x:v>53</x:v>
      </x:c>
      <x:c r="D12" s="16" t="s">
        <x:v>54</x:v>
      </x:c>
      <x:c r="E12" s="16" t="s">
        <x:v>40</x:v>
      </x:c>
      <x:c r="F12" s="16" t="s">
        <x:v>41</x:v>
      </x:c>
      <x:c r="G12" s="16" t="s">
        <x:v>42</x:v>
      </x:c>
      <x:c r="H12" s="39">
        <x:v>1000</x:v>
      </x:c>
      <x:c r="I12" s="39">
        <x:v>8566257</x:v>
      </x:c>
      <x:c r="J12" s="16"/>
      <x:c r="K12" s="67"/>
      <x:c r="L12" s="67"/>
      <x:c r="M12" s="67"/>
    </x:row>
    <x:row r="13">
      <x:c r="A13" s="16" t="s">
        <x:v>225</x:v>
      </x:c>
      <x:c r="B13" s="16" t="s">
        <x:v>214</x:v>
      </x:c>
      <x:c r="C13" s="16" t="s">
        <x:v>53</x:v>
      </x:c>
      <x:c r="D13" s="16" t="s">
        <x:v>54</x:v>
      </x:c>
      <x:c r="E13" s="16" t="s">
        <x:v>40</x:v>
      </x:c>
      <x:c r="F13" s="16" t="s">
        <x:v>47</x:v>
      </x:c>
      <x:c r="G13" s="16" t="s">
        <x:v>48</x:v>
      </x:c>
      <x:c r="H13" s="39">
        <x:v>1001</x:v>
      </x:c>
      <x:c r="I13" s="39">
        <x:v>2875613</x:v>
      </x:c>
      <x:c r="J13" s="16"/>
      <x:c r="K13" s="67"/>
      <x:c r="L13" s="67"/>
      <x:c r="M13" s="67"/>
    </x:row>
    <x:row r="14">
      <x:c r="A14" s="16" t="s">
        <x:v>226</x:v>
      </x:c>
      <x:c r="B14" s="16" t="s">
        <x:v>214</x:v>
      </x:c>
      <x:c r="C14" s="16" t="s">
        <x:v>79</x:v>
      </x:c>
      <x:c r="D14" s="16" t="s">
        <x:v>80</x:v>
      </x:c>
      <x:c r="E14" s="16" t="s">
        <x:v>14</x:v>
      </x:c>
      <x:c r="F14" s="16" t="s">
        <x:v>15</x:v>
      </x:c>
      <x:c r="G14" s="16" t="s">
        <x:v>16</x:v>
      </x:c>
      <x:c r="H14" s="39">
        <x:v>1000</x:v>
      </x:c>
      <x:c r="I14" s="39">
        <x:v>8566257</x:v>
      </x:c>
      <x:c r="J14" s="16"/>
      <x:c r="K14" s="67"/>
      <x:c r="L14" s="67"/>
      <x:c r="M14" s="67"/>
    </x:row>
    <x:row r="15">
      <x:c r="A15" s="16" t="s">
        <x:v>227</x:v>
      </x:c>
      <x:c r="B15" s="16" t="s">
        <x:v>214</x:v>
      </x:c>
      <x:c r="C15" s="16" t="s">
        <x:v>79</x:v>
      </x:c>
      <x:c r="D15" s="16" t="s">
        <x:v>80</x:v>
      </x:c>
      <x:c r="E15" s="16" t="s">
        <x:v>14</x:v>
      </x:c>
      <x:c r="F15" s="16" t="s">
        <x:v>21</x:v>
      </x:c>
      <x:c r="G15" s="16" t="s">
        <x:v>22</x:v>
      </x:c>
      <x:c r="H15" s="39">
        <x:v>1001</x:v>
      </x:c>
      <x:c r="I15" s="39">
        <x:v>2875613</x:v>
      </x:c>
      <x:c r="J15" s="16"/>
      <x:c r="K15" s="67"/>
      <x:c r="L15" s="67"/>
      <x:c r="M15" s="67"/>
    </x:row>
    <x:row r="16">
      <x:c r="A16" s="16" t="s">
        <x:v>228</x:v>
      </x:c>
      <x:c r="B16" s="16" t="s">
        <x:v>214</x:v>
      </x:c>
      <x:c r="C16" s="16" t="s">
        <x:v>79</x:v>
      </x:c>
      <x:c r="D16" s="16" t="s">
        <x:v>80</x:v>
      </x:c>
      <x:c r="E16" s="16" t="s">
        <x:v>27</x:v>
      </x:c>
      <x:c r="F16" s="16" t="s">
        <x:v>28</x:v>
      </x:c>
      <x:c r="G16" s="16" t="s">
        <x:v>29</x:v>
      </x:c>
      <x:c r="H16" s="39">
        <x:v>1000</x:v>
      </x:c>
      <x:c r="I16" s="39">
        <x:v>8566257</x:v>
      </x:c>
      <x:c r="J16" s="16"/>
      <x:c r="K16" s="67"/>
      <x:c r="L16" s="67"/>
      <x:c r="M16" s="67"/>
    </x:row>
    <x:row r="17">
      <x:c r="A17" s="16" t="s">
        <x:v>229</x:v>
      </x:c>
      <x:c r="B17" s="16" t="s">
        <x:v>214</x:v>
      </x:c>
      <x:c r="C17" s="16" t="s">
        <x:v>79</x:v>
      </x:c>
      <x:c r="D17" s="16" t="s">
        <x:v>80</x:v>
      </x:c>
      <x:c r="E17" s="16" t="s">
        <x:v>27</x:v>
      </x:c>
      <x:c r="F17" s="16" t="s">
        <x:v>34</x:v>
      </x:c>
      <x:c r="G17" s="16" t="s">
        <x:v>35</x:v>
      </x:c>
      <x:c r="H17" s="39">
        <x:v>1001</x:v>
      </x:c>
      <x:c r="I17" s="39">
        <x:v>2875613</x:v>
      </x:c>
      <x:c r="J17" s="16"/>
      <x:c r="K17" s="67"/>
      <x:c r="L17" s="67"/>
      <x:c r="M17" s="67"/>
    </x:row>
    <x:row r="18">
      <x:c r="A18" s="16" t="s">
        <x:v>230</x:v>
      </x:c>
      <x:c r="B18" s="16" t="s">
        <x:v>214</x:v>
      </x:c>
      <x:c r="C18" s="16" t="s">
        <x:v>79</x:v>
      </x:c>
      <x:c r="D18" s="16" t="s">
        <x:v>80</x:v>
      </x:c>
      <x:c r="E18" s="16" t="s">
        <x:v>40</x:v>
      </x:c>
      <x:c r="F18" s="16" t="s">
        <x:v>41</x:v>
      </x:c>
      <x:c r="G18" s="16" t="s">
        <x:v>42</x:v>
      </x:c>
      <x:c r="H18" s="39">
        <x:v>1000</x:v>
      </x:c>
      <x:c r="I18" s="39">
        <x:v>8566257</x:v>
      </x:c>
      <x:c r="J18" s="16"/>
      <x:c r="K18" s="67"/>
      <x:c r="L18" s="67"/>
      <x:c r="M18" s="67"/>
    </x:row>
    <x:row r="19">
      <x:c r="A19" s="16" t="s">
        <x:v>231</x:v>
      </x:c>
      <x:c r="B19" s="16" t="s">
        <x:v>214</x:v>
      </x:c>
      <x:c r="C19" s="16" t="s">
        <x:v>79</x:v>
      </x:c>
      <x:c r="D19" s="16" t="s">
        <x:v>80</x:v>
      </x:c>
      <x:c r="E19" s="16" t="s">
        <x:v>40</x:v>
      </x:c>
      <x:c r="F19" s="16" t="s">
        <x:v>47</x:v>
      </x:c>
      <x:c r="G19" s="16" t="s">
        <x:v>48</x:v>
      </x:c>
      <x:c r="H19" s="39">
        <x:v>1001</x:v>
      </x:c>
      <x:c r="I19" s="39">
        <x:v>2875613</x:v>
      </x:c>
      <x:c r="J19" s="16"/>
      <x:c r="K19" s="67"/>
      <x:c r="L19" s="67"/>
      <x:c r="M19" s="67"/>
    </x:row>
    <x:row r="20">
      <x:c r="A20" s="16" t="s">
        <x:v>232</x:v>
      </x:c>
      <x:c r="B20" s="16" t="s">
        <x:v>214</x:v>
      </x:c>
      <x:c r="C20" s="16" t="s">
        <x:v>105</x:v>
      </x:c>
      <x:c r="D20" s="16" t="s">
        <x:v>106</x:v>
      </x:c>
      <x:c r="E20" s="16" t="s">
        <x:v>14</x:v>
      </x:c>
      <x:c r="F20" s="16" t="s">
        <x:v>15</x:v>
      </x:c>
      <x:c r="G20" s="16" t="s">
        <x:v>16</x:v>
      </x:c>
      <x:c r="H20" s="39">
        <x:v>1000</x:v>
      </x:c>
      <x:c r="I20" s="39">
        <x:v>8566257</x:v>
      </x:c>
      <x:c r="J20" s="16"/>
      <x:c r="K20" s="67"/>
      <x:c r="L20" s="67"/>
      <x:c r="M20" s="67"/>
    </x:row>
    <x:row r="21">
      <x:c r="A21" s="16" t="s">
        <x:v>233</x:v>
      </x:c>
      <x:c r="B21" s="16" t="s">
        <x:v>214</x:v>
      </x:c>
      <x:c r="C21" s="16" t="s">
        <x:v>105</x:v>
      </x:c>
      <x:c r="D21" s="16" t="s">
        <x:v>106</x:v>
      </x:c>
      <x:c r="E21" s="16" t="s">
        <x:v>14</x:v>
      </x:c>
      <x:c r="F21" s="16" t="s">
        <x:v>21</x:v>
      </x:c>
      <x:c r="G21" s="16" t="s">
        <x:v>22</x:v>
      </x:c>
      <x:c r="H21" s="39">
        <x:v>1001</x:v>
      </x:c>
      <x:c r="I21" s="39">
        <x:v>2875613</x:v>
      </x:c>
      <x:c r="J21" s="16"/>
      <x:c r="K21" s="67"/>
      <x:c r="L21" s="67"/>
      <x:c r="M21" s="67"/>
    </x:row>
    <x:row r="22">
      <x:c r="A22" s="16" t="s">
        <x:v>234</x:v>
      </x:c>
      <x:c r="B22" s="16" t="s">
        <x:v>214</x:v>
      </x:c>
      <x:c r="C22" s="16" t="s">
        <x:v>105</x:v>
      </x:c>
      <x:c r="D22" s="16" t="s">
        <x:v>106</x:v>
      </x:c>
      <x:c r="E22" s="16" t="s">
        <x:v>27</x:v>
      </x:c>
      <x:c r="F22" s="16" t="s">
        <x:v>28</x:v>
      </x:c>
      <x:c r="G22" s="16" t="s">
        <x:v>29</x:v>
      </x:c>
      <x:c r="H22" s="39">
        <x:v>1000</x:v>
      </x:c>
      <x:c r="I22" s="39">
        <x:v>8566257</x:v>
      </x:c>
      <x:c r="J22" s="16"/>
      <x:c r="K22" s="67"/>
      <x:c r="L22" s="67"/>
      <x:c r="M22" s="67"/>
    </x:row>
    <x:row r="23">
      <x:c r="A23" s="16" t="s">
        <x:v>235</x:v>
      </x:c>
      <x:c r="B23" s="16" t="s">
        <x:v>214</x:v>
      </x:c>
      <x:c r="C23" s="16" t="s">
        <x:v>105</x:v>
      </x:c>
      <x:c r="D23" s="16" t="s">
        <x:v>106</x:v>
      </x:c>
      <x:c r="E23" s="16" t="s">
        <x:v>27</x:v>
      </x:c>
      <x:c r="F23" s="16" t="s">
        <x:v>34</x:v>
      </x:c>
      <x:c r="G23" s="16" t="s">
        <x:v>35</x:v>
      </x:c>
      <x:c r="H23" s="39">
        <x:v>1001</x:v>
      </x:c>
      <x:c r="I23" s="39">
        <x:v>2875613</x:v>
      </x:c>
      <x:c r="J23" s="16"/>
      <x:c r="K23" s="67"/>
      <x:c r="L23" s="67"/>
      <x:c r="M23" s="67"/>
    </x:row>
    <x:row r="24">
      <x:c r="A24" s="16" t="s">
        <x:v>236</x:v>
      </x:c>
      <x:c r="B24" s="16" t="s">
        <x:v>214</x:v>
      </x:c>
      <x:c r="C24" s="16" t="s">
        <x:v>105</x:v>
      </x:c>
      <x:c r="D24" s="16" t="s">
        <x:v>106</x:v>
      </x:c>
      <x:c r="E24" s="16" t="s">
        <x:v>40</x:v>
      </x:c>
      <x:c r="F24" s="16" t="s">
        <x:v>41</x:v>
      </x:c>
      <x:c r="G24" s="16" t="s">
        <x:v>42</x:v>
      </x:c>
      <x:c r="H24" s="39">
        <x:v>1000</x:v>
      </x:c>
      <x:c r="I24" s="39">
        <x:v>8566257</x:v>
      </x:c>
      <x:c r="J24" s="16"/>
      <x:c r="K24" s="67"/>
      <x:c r="L24" s="67"/>
      <x:c r="M24" s="67"/>
    </x:row>
    <x:row r="25">
      <x:c r="A25" s="18" t="s">
        <x:v>237</x:v>
      </x:c>
      <x:c r="B25" s="18" t="s">
        <x:v>214</x:v>
      </x:c>
      <x:c r="C25" s="18" t="s">
        <x:v>105</x:v>
      </x:c>
      <x:c r="D25" s="18" t="s">
        <x:v>106</x:v>
      </x:c>
      <x:c r="E25" s="18" t="s">
        <x:v>40</x:v>
      </x:c>
      <x:c r="F25" s="18" t="s">
        <x:v>47</x:v>
      </x:c>
      <x:c r="G25" s="18" t="s">
        <x:v>48</x:v>
      </x:c>
      <x:c r="H25" s="40">
        <x:v>1001</x:v>
      </x:c>
      <x:c r="I25" s="40">
        <x:v>2875613</x:v>
      </x:c>
      <x:c r="J25" s="18"/>
      <x:c r="K25" s="68"/>
      <x:c r="L25" s="68"/>
      <x:c r="M25" s="68"/>
    </x:row>
  </x:sheetData>
  <x:dataValidations count="1">
    <x:dataValidation type="list" sqref="K2:L2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cb7f80ffdf4fa1"/>
  </x:tableParts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7.83203125" customWidth="1"/>
    <x:col min="2" max="2" width="10.5" customWidth="1"/>
    <x:col min="3" max="3" width="21.1640625" customWidth="1"/>
    <x:col min="4" max="5" width="8.33203125" customWidth="1"/>
    <x:col min="6" max="6" width="13.83203125" customWidth="1"/>
    <x:col min="7" max="7" width="21.1640625" customWidth="1"/>
    <x:col min="8" max="9" width="9.5" customWidth="1"/>
    <x:col min="10" max="10" width="21.1640625" customWidth="1"/>
    <x:col min="11" max="12" width="11.1640625" customWidth="1"/>
    <x:col min="13" max="13" width="24.5" customWidth="1"/>
  </x:cols>
  <x:sheetData>
    <x:row r="1" ht="21" customHeight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210</x:v>
      </x:c>
      <x:c r="L1" t="s">
        <x:v>211</x:v>
      </x:c>
      <x:c r="M1" t="s">
        <x:v>212</x:v>
      </x:c>
    </x:row>
    <x:row r="2" ht="21" customHeight="1">
      <x:c r="A2" t="s">
        <x:v>238</x:v>
      </x:c>
      <x:c r="B2" t="s">
        <x:v>239</x:v>
      </x:c>
      <x:c r="C2" t="s">
        <x:v>12</x:v>
      </x:c>
      <x:c r="D2" t="s">
        <x:v>13</x:v>
      </x:c>
      <x:c r="E2" t="s">
        <x:v>14</x:v>
      </x:c>
      <x:c r="F2" t="s">
        <x:v>15</x:v>
      </x:c>
      <x:c r="G2" t="s">
        <x:v>16</x:v>
      </x:c>
      <x:c r="H2">
        <x:v>1000</x:v>
      </x:c>
      <x:c r="I2">
        <x:v>8566257</x:v>
      </x:c>
      <x:c r="K2" s="63"/>
      <x:c r="L2" s="63"/>
      <x:c r="M2" s="63"/>
    </x:row>
    <x:row r="3" ht="21" customHeight="1">
      <x:c r="A3" t="s">
        <x:v>240</x:v>
      </x:c>
      <x:c r="B3" t="s">
        <x:v>239</x:v>
      </x:c>
      <x:c r="C3" t="s">
        <x:v>12</x:v>
      </x:c>
      <x:c r="D3" t="s">
        <x:v>13</x:v>
      </x:c>
      <x:c r="E3" t="s">
        <x:v>14</x:v>
      </x:c>
      <x:c r="F3" t="s">
        <x:v>21</x:v>
      </x:c>
      <x:c r="G3" t="s">
        <x:v>22</x:v>
      </x:c>
      <x:c r="H3">
        <x:v>1001</x:v>
      </x:c>
      <x:c r="I3">
        <x:v>2875613</x:v>
      </x:c>
      <x:c r="K3" s="63"/>
      <x:c r="L3" s="63"/>
      <x:c r="M3" s="63"/>
    </x:row>
    <x:row r="4" ht="21" customHeight="1">
      <x:c r="A4" t="s">
        <x:v>241</x:v>
      </x:c>
      <x:c r="B4" t="s">
        <x:v>239</x:v>
      </x:c>
      <x:c r="C4" t="s">
        <x:v>12</x:v>
      </x:c>
      <x:c r="D4" t="s">
        <x:v>13</x:v>
      </x:c>
      <x:c r="E4" t="s">
        <x:v>27</x:v>
      </x:c>
      <x:c r="F4" t="s">
        <x:v>28</x:v>
      </x:c>
      <x:c r="G4" t="s">
        <x:v>29</x:v>
      </x:c>
      <x:c r="H4">
        <x:v>1000</x:v>
      </x:c>
      <x:c r="I4">
        <x:v>8566257</x:v>
      </x:c>
      <x:c r="K4" s="63"/>
      <x:c r="L4" s="63"/>
      <x:c r="M4" s="63"/>
    </x:row>
    <x:row r="5" ht="21" customHeight="1">
      <x:c r="A5" t="s">
        <x:v>242</x:v>
      </x:c>
      <x:c r="B5" t="s">
        <x:v>239</x:v>
      </x:c>
      <x:c r="C5" t="s">
        <x:v>12</x:v>
      </x:c>
      <x:c r="D5" t="s">
        <x:v>13</x:v>
      </x:c>
      <x:c r="E5" t="s">
        <x:v>27</x:v>
      </x:c>
      <x:c r="F5" t="s">
        <x:v>34</x:v>
      </x:c>
      <x:c r="G5" t="s">
        <x:v>35</x:v>
      </x:c>
      <x:c r="H5">
        <x:v>1001</x:v>
      </x:c>
      <x:c r="I5">
        <x:v>2875613</x:v>
      </x:c>
      <x:c r="K5" s="63"/>
      <x:c r="L5" s="63"/>
      <x:c r="M5" s="63"/>
    </x:row>
    <x:row r="6" ht="21" customHeight="1">
      <x:c r="A6" t="s">
        <x:v>243</x:v>
      </x:c>
      <x:c r="B6" t="s">
        <x:v>239</x:v>
      </x:c>
      <x:c r="C6" t="s">
        <x:v>12</x:v>
      </x:c>
      <x:c r="D6" t="s">
        <x:v>13</x:v>
      </x:c>
      <x:c r="E6" t="s">
        <x:v>40</x:v>
      </x:c>
      <x:c r="F6" t="s">
        <x:v>41</x:v>
      </x:c>
      <x:c r="G6" t="s">
        <x:v>42</x:v>
      </x:c>
      <x:c r="H6">
        <x:v>1000</x:v>
      </x:c>
      <x:c r="I6">
        <x:v>8566257</x:v>
      </x:c>
      <x:c r="K6" s="63"/>
      <x:c r="L6" s="63"/>
      <x:c r="M6" s="63"/>
    </x:row>
    <x:row r="7" ht="21" customHeight="1">
      <x:c r="A7" t="s">
        <x:v>244</x:v>
      </x:c>
      <x:c r="B7" t="s">
        <x:v>239</x:v>
      </x:c>
      <x:c r="C7" t="s">
        <x:v>12</x:v>
      </x:c>
      <x:c r="D7" t="s">
        <x:v>13</x:v>
      </x:c>
      <x:c r="E7" t="s">
        <x:v>40</x:v>
      </x:c>
      <x:c r="F7" t="s">
        <x:v>47</x:v>
      </x:c>
      <x:c r="G7" t="s">
        <x:v>48</x:v>
      </x:c>
      <x:c r="H7">
        <x:v>1001</x:v>
      </x:c>
      <x:c r="I7">
        <x:v>2875613</x:v>
      </x:c>
      <x:c r="K7" s="63"/>
      <x:c r="L7" s="63"/>
      <x:c r="M7" s="63"/>
    </x:row>
    <x:row r="8" ht="21" customHeight="1">
      <x:c r="A8" t="s">
        <x:v>245</x:v>
      </x:c>
      <x:c r="B8" t="s">
        <x:v>239</x:v>
      </x:c>
      <x:c r="C8" t="s">
        <x:v>53</x:v>
      </x:c>
      <x:c r="D8" t="s">
        <x:v>54</x:v>
      </x:c>
      <x:c r="E8" t="s">
        <x:v>14</x:v>
      </x:c>
      <x:c r="F8" t="s">
        <x:v>15</x:v>
      </x:c>
      <x:c r="G8" t="s">
        <x:v>16</x:v>
      </x:c>
      <x:c r="H8">
        <x:v>1000</x:v>
      </x:c>
      <x:c r="I8">
        <x:v>8566257</x:v>
      </x:c>
      <x:c r="K8" s="63"/>
      <x:c r="L8" s="63"/>
      <x:c r="M8" s="63"/>
    </x:row>
    <x:row r="9" ht="21" customHeight="1">
      <x:c r="A9" t="s">
        <x:v>246</x:v>
      </x:c>
      <x:c r="B9" t="s">
        <x:v>239</x:v>
      </x:c>
      <x:c r="C9" t="s">
        <x:v>53</x:v>
      </x:c>
      <x:c r="D9" t="s">
        <x:v>54</x:v>
      </x:c>
      <x:c r="E9" t="s">
        <x:v>14</x:v>
      </x:c>
      <x:c r="F9" t="s">
        <x:v>21</x:v>
      </x:c>
      <x:c r="G9" t="s">
        <x:v>22</x:v>
      </x:c>
      <x:c r="H9">
        <x:v>1001</x:v>
      </x:c>
      <x:c r="I9">
        <x:v>2875613</x:v>
      </x:c>
      <x:c r="K9" s="63"/>
      <x:c r="L9" s="63"/>
      <x:c r="M9" s="63"/>
    </x:row>
    <x:row r="10" ht="21" customHeight="1">
      <x:c r="A10" t="s">
        <x:v>247</x:v>
      </x:c>
      <x:c r="B10" t="s">
        <x:v>239</x:v>
      </x:c>
      <x:c r="C10" t="s">
        <x:v>53</x:v>
      </x:c>
      <x:c r="D10" t="s">
        <x:v>54</x:v>
      </x:c>
      <x:c r="E10" t="s">
        <x:v>27</x:v>
      </x:c>
      <x:c r="F10" t="s">
        <x:v>28</x:v>
      </x:c>
      <x:c r="G10" t="s">
        <x:v>29</x:v>
      </x:c>
      <x:c r="H10">
        <x:v>1000</x:v>
      </x:c>
      <x:c r="I10">
        <x:v>8566257</x:v>
      </x:c>
      <x:c r="K10" s="63"/>
      <x:c r="L10" s="63"/>
      <x:c r="M10" s="63"/>
    </x:row>
    <x:row r="11" ht="21" customHeight="1">
      <x:c r="A11" t="s">
        <x:v>248</x:v>
      </x:c>
      <x:c r="B11" t="s">
        <x:v>239</x:v>
      </x:c>
      <x:c r="C11" t="s">
        <x:v>53</x:v>
      </x:c>
      <x:c r="D11" t="s">
        <x:v>54</x:v>
      </x:c>
      <x:c r="E11" t="s">
        <x:v>27</x:v>
      </x:c>
      <x:c r="F11" t="s">
        <x:v>34</x:v>
      </x:c>
      <x:c r="G11" t="s">
        <x:v>35</x:v>
      </x:c>
      <x:c r="H11">
        <x:v>1001</x:v>
      </x:c>
      <x:c r="I11">
        <x:v>2875613</x:v>
      </x:c>
      <x:c r="K11" s="63"/>
      <x:c r="L11" s="63"/>
      <x:c r="M11" s="63"/>
    </x:row>
    <x:row r="12" ht="21" customHeight="1">
      <x:c r="A12" t="s">
        <x:v>249</x:v>
      </x:c>
      <x:c r="B12" t="s">
        <x:v>239</x:v>
      </x:c>
      <x:c r="C12" t="s">
        <x:v>53</x:v>
      </x:c>
      <x:c r="D12" t="s">
        <x:v>54</x:v>
      </x:c>
      <x:c r="E12" t="s">
        <x:v>40</x:v>
      </x:c>
      <x:c r="F12" t="s">
        <x:v>41</x:v>
      </x:c>
      <x:c r="G12" t="s">
        <x:v>42</x:v>
      </x:c>
      <x:c r="H12">
        <x:v>1000</x:v>
      </x:c>
      <x:c r="I12">
        <x:v>8566257</x:v>
      </x:c>
      <x:c r="K12" s="63"/>
      <x:c r="L12" s="63"/>
      <x:c r="M12" s="63"/>
    </x:row>
    <x:row r="13" ht="21" customHeight="1">
      <x:c r="A13" t="s">
        <x:v>250</x:v>
      </x:c>
      <x:c r="B13" t="s">
        <x:v>239</x:v>
      </x:c>
      <x:c r="C13" t="s">
        <x:v>53</x:v>
      </x:c>
      <x:c r="D13" t="s">
        <x:v>54</x:v>
      </x:c>
      <x:c r="E13" t="s">
        <x:v>40</x:v>
      </x:c>
      <x:c r="F13" t="s">
        <x:v>47</x:v>
      </x:c>
      <x:c r="G13" t="s">
        <x:v>48</x:v>
      </x:c>
      <x:c r="H13">
        <x:v>1001</x:v>
      </x:c>
      <x:c r="I13">
        <x:v>2875613</x:v>
      </x:c>
      <x:c r="K13" s="63"/>
      <x:c r="L13" s="63"/>
      <x:c r="M13" s="63"/>
    </x:row>
    <x:row r="14" ht="21" customHeight="1">
      <x:c r="A14" t="s">
        <x:v>251</x:v>
      </x:c>
      <x:c r="B14" t="s">
        <x:v>239</x:v>
      </x:c>
      <x:c r="C14" t="s">
        <x:v>79</x:v>
      </x:c>
      <x:c r="D14" t="s">
        <x:v>80</x:v>
      </x:c>
      <x:c r="E14" t="s">
        <x:v>14</x:v>
      </x:c>
      <x:c r="F14" t="s">
        <x:v>15</x:v>
      </x:c>
      <x:c r="G14" t="s">
        <x:v>16</x:v>
      </x:c>
      <x:c r="H14">
        <x:v>1000</x:v>
      </x:c>
      <x:c r="I14">
        <x:v>8566257</x:v>
      </x:c>
      <x:c r="K14" s="63"/>
      <x:c r="L14" s="63"/>
      <x:c r="M14" s="63"/>
    </x:row>
    <x:row r="15" ht="21" customHeight="1">
      <x:c r="A15" t="s">
        <x:v>252</x:v>
      </x:c>
      <x:c r="B15" t="s">
        <x:v>239</x:v>
      </x:c>
      <x:c r="C15" t="s">
        <x:v>79</x:v>
      </x:c>
      <x:c r="D15" t="s">
        <x:v>80</x:v>
      </x:c>
      <x:c r="E15" t="s">
        <x:v>14</x:v>
      </x:c>
      <x:c r="F15" t="s">
        <x:v>21</x:v>
      </x:c>
      <x:c r="G15" t="s">
        <x:v>22</x:v>
      </x:c>
      <x:c r="H15">
        <x:v>1001</x:v>
      </x:c>
      <x:c r="I15">
        <x:v>2875613</x:v>
      </x:c>
      <x:c r="K15" s="63"/>
      <x:c r="L15" s="63"/>
      <x:c r="M15" s="63"/>
    </x:row>
    <x:row r="16" ht="21" customHeight="1">
      <x:c r="A16" t="s">
        <x:v>253</x:v>
      </x:c>
      <x:c r="B16" t="s">
        <x:v>239</x:v>
      </x:c>
      <x:c r="C16" t="s">
        <x:v>79</x:v>
      </x:c>
      <x:c r="D16" t="s">
        <x:v>80</x:v>
      </x:c>
      <x:c r="E16" t="s">
        <x:v>27</x:v>
      </x:c>
      <x:c r="F16" t="s">
        <x:v>28</x:v>
      </x:c>
      <x:c r="G16" t="s">
        <x:v>29</x:v>
      </x:c>
      <x:c r="H16">
        <x:v>1000</x:v>
      </x:c>
      <x:c r="I16">
        <x:v>8566257</x:v>
      </x:c>
      <x:c r="K16" s="63"/>
      <x:c r="L16" s="63"/>
      <x:c r="M16" s="63"/>
    </x:row>
    <x:row r="17" ht="21" customHeight="1">
      <x:c r="A17" t="s">
        <x:v>254</x:v>
      </x:c>
      <x:c r="B17" t="s">
        <x:v>239</x:v>
      </x:c>
      <x:c r="C17" t="s">
        <x:v>79</x:v>
      </x:c>
      <x:c r="D17" t="s">
        <x:v>80</x:v>
      </x:c>
      <x:c r="E17" t="s">
        <x:v>27</x:v>
      </x:c>
      <x:c r="F17" t="s">
        <x:v>34</x:v>
      </x:c>
      <x:c r="G17" t="s">
        <x:v>35</x:v>
      </x:c>
      <x:c r="H17">
        <x:v>1001</x:v>
      </x:c>
      <x:c r="I17">
        <x:v>2875613</x:v>
      </x:c>
      <x:c r="K17" s="63"/>
      <x:c r="L17" s="63"/>
      <x:c r="M17" s="63"/>
    </x:row>
    <x:row r="18" ht="21" customHeight="1">
      <x:c r="A18" t="s">
        <x:v>255</x:v>
      </x:c>
      <x:c r="B18" t="s">
        <x:v>239</x:v>
      </x:c>
      <x:c r="C18" t="s">
        <x:v>79</x:v>
      </x:c>
      <x:c r="D18" t="s">
        <x:v>80</x:v>
      </x:c>
      <x:c r="E18" t="s">
        <x:v>40</x:v>
      </x:c>
      <x:c r="F18" t="s">
        <x:v>41</x:v>
      </x:c>
      <x:c r="G18" t="s">
        <x:v>42</x:v>
      </x:c>
      <x:c r="H18">
        <x:v>1000</x:v>
      </x:c>
      <x:c r="I18">
        <x:v>8566257</x:v>
      </x:c>
      <x:c r="K18" s="63"/>
      <x:c r="L18" s="63"/>
      <x:c r="M18" s="63"/>
    </x:row>
    <x:row r="19" ht="21" customHeight="1">
      <x:c r="A19" t="s">
        <x:v>256</x:v>
      </x:c>
      <x:c r="B19" t="s">
        <x:v>239</x:v>
      </x:c>
      <x:c r="C19" t="s">
        <x:v>79</x:v>
      </x:c>
      <x:c r="D19" t="s">
        <x:v>80</x:v>
      </x:c>
      <x:c r="E19" t="s">
        <x:v>40</x:v>
      </x:c>
      <x:c r="F19" t="s">
        <x:v>47</x:v>
      </x:c>
      <x:c r="G19" t="s">
        <x:v>48</x:v>
      </x:c>
      <x:c r="H19">
        <x:v>1001</x:v>
      </x:c>
      <x:c r="I19">
        <x:v>2875613</x:v>
      </x:c>
      <x:c r="K19" s="63"/>
      <x:c r="L19" s="63"/>
      <x:c r="M19" s="63"/>
    </x:row>
    <x:row r="20" ht="21" customHeight="1">
      <x:c r="A20" t="s">
        <x:v>257</x:v>
      </x:c>
      <x:c r="B20" t="s">
        <x:v>239</x:v>
      </x:c>
      <x:c r="C20" t="s">
        <x:v>105</x:v>
      </x:c>
      <x:c r="D20" t="s">
        <x:v>106</x:v>
      </x:c>
      <x:c r="E20" t="s">
        <x:v>14</x:v>
      </x:c>
      <x:c r="F20" t="s">
        <x:v>15</x:v>
      </x:c>
      <x:c r="G20" t="s">
        <x:v>16</x:v>
      </x:c>
      <x:c r="H20">
        <x:v>1000</x:v>
      </x:c>
      <x:c r="I20">
        <x:v>8566257</x:v>
      </x:c>
      <x:c r="K20" s="63"/>
      <x:c r="L20" s="63"/>
      <x:c r="M20" s="63"/>
    </x:row>
    <x:row r="21" ht="21" customHeight="1">
      <x:c r="A21" t="s">
        <x:v>258</x:v>
      </x:c>
      <x:c r="B21" t="s">
        <x:v>239</x:v>
      </x:c>
      <x:c r="C21" t="s">
        <x:v>105</x:v>
      </x:c>
      <x:c r="D21" t="s">
        <x:v>106</x:v>
      </x:c>
      <x:c r="E21" t="s">
        <x:v>14</x:v>
      </x:c>
      <x:c r="F21" t="s">
        <x:v>21</x:v>
      </x:c>
      <x:c r="G21" t="s">
        <x:v>22</x:v>
      </x:c>
      <x:c r="H21">
        <x:v>1001</x:v>
      </x:c>
      <x:c r="I21">
        <x:v>2875613</x:v>
      </x:c>
      <x:c r="K21" s="63"/>
      <x:c r="L21" s="63"/>
      <x:c r="M21" s="63"/>
    </x:row>
    <x:row r="22" ht="21" customHeight="1">
      <x:c r="A22" t="s">
        <x:v>259</x:v>
      </x:c>
      <x:c r="B22" t="s">
        <x:v>239</x:v>
      </x:c>
      <x:c r="C22" t="s">
        <x:v>105</x:v>
      </x:c>
      <x:c r="D22" t="s">
        <x:v>106</x:v>
      </x:c>
      <x:c r="E22" t="s">
        <x:v>27</x:v>
      </x:c>
      <x:c r="F22" t="s">
        <x:v>28</x:v>
      </x:c>
      <x:c r="G22" t="s">
        <x:v>29</x:v>
      </x:c>
      <x:c r="H22">
        <x:v>1000</x:v>
      </x:c>
      <x:c r="I22">
        <x:v>8566257</x:v>
      </x:c>
      <x:c r="K22" s="63"/>
      <x:c r="L22" s="63"/>
      <x:c r="M22" s="63"/>
    </x:row>
    <x:row r="23" ht="21" customHeight="1">
      <x:c r="A23" t="s">
        <x:v>260</x:v>
      </x:c>
      <x:c r="B23" t="s">
        <x:v>239</x:v>
      </x:c>
      <x:c r="C23" t="s">
        <x:v>105</x:v>
      </x:c>
      <x:c r="D23" t="s">
        <x:v>106</x:v>
      </x:c>
      <x:c r="E23" t="s">
        <x:v>27</x:v>
      </x:c>
      <x:c r="F23" t="s">
        <x:v>34</x:v>
      </x:c>
      <x:c r="G23" t="s">
        <x:v>35</x:v>
      </x:c>
      <x:c r="H23">
        <x:v>1001</x:v>
      </x:c>
      <x:c r="I23">
        <x:v>2875613</x:v>
      </x:c>
      <x:c r="K23" s="63"/>
      <x:c r="L23" s="63"/>
      <x:c r="M23" s="63"/>
    </x:row>
    <x:row r="24" ht="21" customHeight="1">
      <x:c r="A24" t="s">
        <x:v>261</x:v>
      </x:c>
      <x:c r="B24" t="s">
        <x:v>239</x:v>
      </x:c>
      <x:c r="C24" t="s">
        <x:v>105</x:v>
      </x:c>
      <x:c r="D24" t="s">
        <x:v>106</x:v>
      </x:c>
      <x:c r="E24" t="s">
        <x:v>40</x:v>
      </x:c>
      <x:c r="F24" t="s">
        <x:v>41</x:v>
      </x:c>
      <x:c r="G24" t="s">
        <x:v>42</x:v>
      </x:c>
      <x:c r="H24">
        <x:v>1000</x:v>
      </x:c>
      <x:c r="I24">
        <x:v>8566257</x:v>
      </x:c>
      <x:c r="K24" s="63"/>
      <x:c r="L24" s="63"/>
      <x:c r="M24" s="63"/>
    </x:row>
    <x:row r="25" ht="21" customHeight="1">
      <x:c r="A25" t="s">
        <x:v>262</x:v>
      </x:c>
      <x:c r="B25" t="s">
        <x:v>239</x:v>
      </x:c>
      <x:c r="C25" t="s">
        <x:v>105</x:v>
      </x:c>
      <x:c r="D25" t="s">
        <x:v>106</x:v>
      </x:c>
      <x:c r="E25" t="s">
        <x:v>40</x:v>
      </x:c>
      <x:c r="F25" t="s">
        <x:v>47</x:v>
      </x:c>
      <x:c r="G25" t="s">
        <x:v>48</x:v>
      </x:c>
      <x:c r="H25">
        <x:v>1001</x:v>
      </x:c>
      <x:c r="I25">
        <x:v>2875613</x:v>
      </x:c>
      <x:c r="K25" s="63"/>
      <x:c r="L25" s="63"/>
      <x:c r="M25" s="63"/>
    </x:row>
  </x:sheetData>
  <x:dataValidations count="1">
    <x:dataValidation type="list" sqref="K2:L2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630de74a954a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9" customWidth="1"/>
    <x:col min="2" max="3" width="14" customWidth="1"/>
    <x:col min="4" max="7" width="16" customWidth="1"/>
    <x:col min="9" max="9" width="29" hidden="0" customWidth="1"/>
    <x:col min="10" max="10" width="14" hidden="0" customWidth="1"/>
    <x:col min="11" max="11" width="14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30" customHeight="1">
      <x:c r="A1" s="47" t="s">
        <x:v>263</x:v>
      </x:c>
      <x:c r="B1" s="47" t="s">
        <x:v>263</x:v>
      </x:c>
      <x:c r="C1" s="47" t="s">
        <x:v>263</x:v>
      </x:c>
      <x:c r="D1" s="47" t="s">
        <x:v>263</x:v>
      </x:c>
      <x:c r="E1" s="47" t="s">
        <x:v>263</x:v>
      </x:c>
      <x:c r="F1" s="47" t="s">
        <x:v>263</x:v>
      </x:c>
      <x:c r="G1" s="47" t="s">
        <x:v>263</x:v>
      </x:c>
    </x:row>
    <x:row r="3">
      <x:c r="A3" t="s">
        <x:v>264</x:v>
      </x:c>
      <x:c r="B3" s="41">
        <x:v>1.959963984540054</x:v>
      </x:c>
    </x:row>
    <x:row r="5" ht="32" customHeight="1">
      <x:c r="A5" s="11" t="s">
        <x:v>265</x:v>
      </x:c>
      <x:c r="B5" s="12" t="s">
        <x:v>266</x:v>
      </x:c>
      <x:c r="C5" s="12" t="s">
        <x:v>267</x:v>
      </x:c>
      <x:c r="D5" s="13" t="s">
        <x:v>268</x:v>
      </x:c>
      <x:c r="I5" s="70" t="str">
        <x:v>Title-aware completion</x:v>
      </x:c>
      <x:c r="J5" s="70" t="str">
        <x:v>Completed</x:v>
      </x:c>
      <x:c r="K5" s="70" t="str">
        <x:v>Total</x:v>
      </x:c>
      <x:c r="L5" s="70" t="str">
        <x:v>Rate</x:v>
      </x:c>
    </x:row>
    <x:row r="6">
      <x:c r="A6" s="14" t="str">
        <x:v>Strict manual labels</x:v>
      </x:c>
      <x:c r="B6" s="14" t="n">
        <x:f>COUNTIF(Verifier_168!$K$2:$K$169,"&lt;&gt;")</x:f>
        <x:v>0</x:v>
      </x:c>
      <x:c r="C6" s="14">
        <x:v>168</x:v>
      </x:c>
      <x:c r="D6" s="43" t="n">
        <x:f>B6/C6</x:f>
        <x:v>0</x:v>
      </x:c>
      <x:c r="I6" s="71" t="str">
        <x:v>Manual labels</x:v>
      </x:c>
      <x:c r="J6" s="71" t="n">
        <x:f>COUNTIF(Verifier_168!$Q$2:$Q$169,"&lt;&gt;")</x:f>
        <x:v>0</x:v>
      </x:c>
      <x:c r="K6" s="71" t="n">
        <x:v>168</x:v>
      </x:c>
      <x:c r="L6" s="74" t="n">
        <x:f>J6/K6</x:f>
        <x:v>0</x:v>
      </x:c>
    </x:row>
    <x:row r="7">
      <x:c r="A7" s="16" t="str">
        <x:v>Strict verifier decisions</x:v>
      </x:c>
      <x:c r="B7" s="16" t="n">
        <x:f>COUNTIF(Verifier_168!$N$2:$N$169,"&lt;&gt;")</x:f>
        <x:v>0</x:v>
      </x:c>
      <x:c r="C7" s="16">
        <x:v>168</x:v>
      </x:c>
      <x:c r="D7" s="44" t="n">
        <x:f>B7/C7</x:f>
        <x:v>0</x:v>
      </x:c>
      <x:c r="I7" s="72" t="str">
        <x:v>Verifier decisions</x:v>
      </x:c>
      <x:c r="J7" s="72" t="n">
        <x:f>COUNTIF(Verifier_168!$R$2:$R$169,"&lt;&gt;")</x:f>
        <x:v>0</x:v>
      </x:c>
      <x:c r="K7" s="72" t="n">
        <x:v>168</x:v>
      </x:c>
      <x:c r="L7" s="75" t="n">
        <x:f>J7/K7</x:f>
        <x:v>0</x:v>
      </x:c>
    </x:row>
    <x:row r="8">
      <x:c r="A8" s="16" t="s">
        <x:v>269</x:v>
      </x:c>
      <x:c r="B8" s="16" t="n">
        <x:f>COUNTIF(Style_24!$K$2:$K$25,"&lt;&gt;")</x:f>
        <x:v>0</x:v>
      </x:c>
      <x:c r="C8" s="16">
        <x:v>24</x:v>
      </x:c>
      <x:c r="D8" s="44" t="n">
        <x:f>B8/C8</x:f>
        <x:v>0</x:v>
      </x:c>
    </x:row>
    <x:row r="9">
      <x:c r="A9" s="18" t="s">
        <x:v>270</x:v>
      </x:c>
      <x:c r="B9" s="18" t="n">
        <x:f>COUNTIF(Style_24!$L$2:$L$25,"&lt;&gt;")</x:f>
        <x:v>0</x:v>
      </x:c>
      <x:c r="C9" s="18">
        <x:v>24</x:v>
      </x:c>
      <x:c r="D9" s="45" t="n">
        <x:f>B9/C9</x:f>
        <x:v>0</x:v>
      </x:c>
    </x:row>
    <x:row r="11" ht="32" customHeight="1">
      <x:c r="A11" s="11" t="str">
        <x:v>Strict image verifier</x:v>
      </x:c>
      <x:c r="B11" s="12" t="s">
        <x:v>271</x:v>
      </x:c>
      <x:c r="C11" s="12" t="s">
        <x:v>268</x:v>
      </x:c>
      <x:c r="D11" s="12" t="s">
        <x:v>272</x:v>
      </x:c>
      <x:c r="E11" s="13" t="s">
        <x:v>273</x:v>
      </x:c>
      <x:c r="I11" s="70" t="str">
        <x:v>Title-aware image verifier</x:v>
      </x:c>
      <x:c r="J11" s="70" t="str">
        <x:v>Count</x:v>
      </x:c>
      <x:c r="K11" s="70" t="str">
        <x:v>Rate</x:v>
      </x:c>
      <x:c r="L11" s="70" t="str">
        <x:v>Wilson low</x:v>
      </x:c>
      <x:c r="M11" s="70" t="str">
        <x:v>Wilson high</x:v>
      </x:c>
      <x:c r="N11"/>
      <x:c r="O11"/>
    </x:row>
    <x:row r="12">
      <x:c r="A12" s="14" t="s">
        <x:v>274</x:v>
      </x:c>
      <x:c r="B12" s="14" t="n">
        <x:f>COUNTIFS(Verifier_168!$K$2:$K$169,"&lt;&gt;",Verifier_168!$N$2:$N$169,"&lt;&gt;")</x:f>
        <x:v>0</x:v>
      </x:c>
      <x:c r="C12" s="43" t="n">
        <x:f>B12/168</x:f>
        <x:v>0</x:v>
      </x:c>
      <x:c r="D12" s="43"/>
      <x:c r="E12" s="43"/>
      <x:c r="I12" s="71" t="str">
        <x:v>Completed pairs</x:v>
      </x:c>
      <x:c r="J12" s="71" t="n">
        <x:f>COUNTIFS(Verifier_168!$Q$2:$Q$169,"&lt;&gt;",Verifier_168!$R$2:$R$169,"&lt;&gt;")</x:f>
        <x:v>0</x:v>
      </x:c>
      <x:c r="K12" s="74" t="n">
        <x:f>J12/168</x:f>
        <x:v>0</x:v>
      </x:c>
      <x:c r="L12" s="74"/>
      <x:c r="M12" s="74"/>
      <x:c r="N12"/>
      <x:c r="O12"/>
    </x:row>
    <x:row r="13">
      <x:c r="A13" s="16" t="s">
        <x:v>275</x:v>
      </x:c>
      <x:c r="B13" s="16" t="n">
        <x:f>COUNTIF(Verifier_168!$P$2:$P$169,"agreement")</x:f>
        <x:v>0</x:v>
      </x:c>
      <x:c r="C13" s="44" t="str">
        <x:f>IF(B12=0,"",B13/B12)</x:f>
      </x:c>
      <x:c r="D13" s="44" t="str">
        <x:f>IF(B12=0,"",((C13+$B$3^2/(2*B12))/(1+$B$3^2/B12))-$B$3*SQRT((C13*(1-C13)/B12+$B$3^2/(4*B12^2))/(1+$B$3^2/B12)^2))</x:f>
      </x:c>
      <x:c r="E13" s="44" t="str">
        <x:f>IF(B12=0,"",((C13+$B$3^2/(2*B12))/(1+$B$3^2/B12))+$B$3*SQRT((C13*(1-C13)/B12+$B$3^2/(4*B12^2))/(1+$B$3^2/B12)^2))</x:f>
      </x:c>
      <x:c r="I13" s="73" t="str">
        <x:v>Agreement</x:v>
      </x:c>
      <x:c r="J13" s="73" t="n">
        <x:f>COUNTIF(Verifier_168!$T$2:$T$169,"agreement")</x:f>
        <x:v>0</x:v>
      </x:c>
      <x:c r="K13" s="76" t="str">
        <x:f>IF(J12=0,"",J13/J12)</x:f>
      </x:c>
      <x:c r="L13" s="76" t="str">
        <x:f>IF(J12=0,"",((K13+$B$3^2/(2*J12))/(1+$B$3^2/J12))-$B$3*SQRT((K13*(1-K13)/J12+$B$3^2/(4*J12^2))/(1+$B$3^2/J12)^2))</x:f>
      </x:c>
      <x:c r="M13" s="76" t="str">
        <x:f>IF(J12=0,"",((K13+$B$3^2/(2*J12))/(1+$B$3^2/J12))+$B$3*SQRT((K13*(1-K13)/J12+$B$3^2/(4*J12^2))/(1+$B$3^2/J12)^2))</x:f>
      </x:c>
      <x:c r="N13"/>
      <x:c r="O13"/>
    </x:row>
    <x:row r="14">
      <x:c r="A14" s="16" t="s">
        <x:v>276</x:v>
      </x:c>
      <x:c r="B14" s="16" t="n">
        <x:f>COUNTIF(Verifier_168!$P$2:$P$169,"false_accept")</x:f>
        <x:v>0</x:v>
      </x:c>
      <x:c r="C14" s="44" t="str">
        <x:f>IF(B12=0,"",B14/B12)</x:f>
      </x:c>
      <x:c r="D14" s="44"/>
      <x:c r="E14" s="44"/>
      <x:c r="I14" s="73" t="str">
        <x:v>False accept</x:v>
      </x:c>
      <x:c r="J14" s="73" t="n">
        <x:f>COUNTIF(Verifier_168!$T$2:$T$169,"false_accept")</x:f>
        <x:v>0</x:v>
      </x:c>
      <x:c r="K14" s="76" t="str">
        <x:f>IF(J12=0,"",J14/J12)</x:f>
      </x:c>
      <x:c r="L14" s="76"/>
      <x:c r="M14" s="76"/>
      <x:c r="N14"/>
      <x:c r="O14"/>
    </x:row>
    <x:row r="15">
      <x:c r="A15" s="16" t="s">
        <x:v>277</x:v>
      </x:c>
      <x:c r="B15" s="16" t="n">
        <x:f>COUNTIF(Verifier_168!$P$2:$P$169,"false_reject")</x:f>
        <x:v>0</x:v>
      </x:c>
      <x:c r="C15" s="44" t="str">
        <x:f>IF(B12=0,"",B15/B12)</x:f>
      </x:c>
      <x:c r="D15" s="44"/>
      <x:c r="E15" s="44"/>
      <x:c r="I15" s="73" t="str">
        <x:v>False reject</x:v>
      </x:c>
      <x:c r="J15" s="73" t="n">
        <x:f>COUNTIF(Verifier_168!$T$2:$T$169,"false_reject")</x:f>
        <x:v>0</x:v>
      </x:c>
      <x:c r="K15" s="76" t="str">
        <x:f>IF(J12=0,"",J15/J12)</x:f>
      </x:c>
      <x:c r="L15" s="76"/>
      <x:c r="M15" s="76"/>
      <x:c r="N15"/>
      <x:c r="O15"/>
    </x:row>
    <x:row r="16">
      <x:c r="A16" s="16" t="s">
        <x:v>278</x:v>
      </x:c>
      <x:c r="B16" s="16" t="n">
        <x:f>COUNTIF(Verifier_168!$P$2:$P$169,"invalid")</x:f>
        <x:v>0</x:v>
      </x:c>
      <x:c r="C16" s="44" t="str">
        <x:f>IF(B12=0,"",B16/B12)</x:f>
      </x:c>
      <x:c r="D16" s="44"/>
      <x:c r="E16" s="44"/>
      <x:c r="I16" s="73" t="str">
        <x:v>Invalid</x:v>
      </x:c>
      <x:c r="J16" s="73" t="n">
        <x:f>COUNTIF(Verifier_168!$T$2:$T$169,"invalid")</x:f>
        <x:v>0</x:v>
      </x:c>
      <x:c r="K16" s="76" t="str">
        <x:f>IF(J12=0,"",J16/J12)</x:f>
      </x:c>
      <x:c r="L16" s="76"/>
      <x:c r="M16" s="76"/>
      <x:c r="N16"/>
      <x:c r="O16"/>
    </x:row>
    <x:row r="17">
      <x:c r="A17" s="16" t="s">
        <x:v>279</x:v>
      </x:c>
      <x:c r="B17" s="16" t="n">
        <x:f>B12-B16</x:f>
        <x:v>0</x:v>
      </x:c>
      <x:c r="C17" s="44" t="str">
        <x:f>IF(B12=0,"",B17/B12)</x:f>
      </x:c>
      <x:c r="D17" s="44"/>
      <x:c r="E17" s="44"/>
      <x:c r="I17" s="73" t="str">
        <x:v>Valid decisions</x:v>
      </x:c>
      <x:c r="J17" s="73" t="n">
        <x:f>J12-J16</x:f>
        <x:v>0</x:v>
      </x:c>
      <x:c r="K17" s="76" t="str">
        <x:f>IF(J12=0,"",J17/J12)</x:f>
      </x:c>
      <x:c r="L17" s="76"/>
      <x:c r="M17" s="76"/>
      <x:c r="N17"/>
      <x:c r="O17"/>
    </x:row>
    <x:row r="18">
      <x:c r="A18" s="18" t="s">
        <x:v>280</x:v>
      </x:c>
      <x:c r="B18" s="18" t="n">
        <x:f>B13</x:f>
        <x:v>0</x:v>
      </x:c>
      <x:c r="C18" s="45" t="str">
        <x:f>IF(B17=0,"",B18/B17)</x:f>
      </x:c>
      <x:c r="D18" s="45"/>
      <x:c r="E18" s="45"/>
      <x:c r="I18" s="72" t="str">
        <x:v>Valid-decision agreement</x:v>
      </x:c>
      <x:c r="J18" s="72" t="n">
        <x:f>J13</x:f>
        <x:v>0</x:v>
      </x:c>
      <x:c r="K18" s="75" t="str">
        <x:f>IF(J17=0,"",J18/J17)</x:f>
      </x:c>
      <x:c r="L18" s="75"/>
      <x:c r="M18" s="75"/>
      <x:c r="N18"/>
      <x:c r="O18"/>
    </x:row>
    <x:row r="19">
      <x:c r="I19"/>
      <x:c r="J19"/>
      <x:c r="K19"/>
      <x:c r="L19"/>
      <x:c r="M19"/>
      <x:c r="N19"/>
      <x:c r="O19"/>
    </x:row>
    <x:row r="20" ht="32" customHeight="1">
      <x:c r="A20" s="11" t="str">
        <x:v>Strict verifier by PG</x:v>
      </x:c>
      <x:c r="B20" s="12" t="s">
        <x:v>281</x:v>
      </x:c>
      <x:c r="C20" s="12" t="s">
        <x:v>282</x:v>
      </x:c>
      <x:c r="D20" s="12" t="s">
        <x:v>283</x:v>
      </x:c>
      <x:c r="E20" s="12" t="s">
        <x:v>284</x:v>
      </x:c>
      <x:c r="F20" s="12" t="s">
        <x:v>285</x:v>
      </x:c>
      <x:c r="G20" s="13" t="s">
        <x:v>286</x:v>
      </x:c>
      <x:c r="I20" s="70" t="str">
        <x:v>Title-aware verifier by PG</x:v>
      </x:c>
      <x:c r="J20" s="70" t="str">
        <x:v>n</x:v>
      </x:c>
      <x:c r="K20" s="70" t="str">
        <x:v>agreement</x:v>
      </x:c>
      <x:c r="L20" s="70" t="str">
        <x:v>rate</x:v>
      </x:c>
      <x:c r="M20" s="70" t="str">
        <x:v>false_accept</x:v>
      </x:c>
      <x:c r="N20" s="70" t="str">
        <x:v>false_reject</x:v>
      </x:c>
      <x:c r="O20" s="70" t="str">
        <x:v>invalid</x:v>
      </x:c>
    </x:row>
    <x:row r="21">
      <x:c r="A21" s="14" t="s">
        <x:v>13</x:v>
      </x:c>
      <x:c r="B21" s="14" t="n">
        <x:f>COUNTIFS(Verifier_168!$D$2:$D$169,A21,Verifier_168!$K$2:$K$169,"&lt;&gt;",Verifier_168!$N$2:$N$169,"&lt;&gt;")</x:f>
        <x:v>0</x:v>
      </x:c>
      <x:c r="C21" s="14" t="n">
        <x:f>COUNTIFS(Verifier_168!$D$2:$D$169,A21,Verifier_168!$P$2:$P$169,"agreement")</x:f>
        <x:v>0</x:v>
      </x:c>
      <x:c r="D21" s="43" t="str">
        <x:f t="shared" ref="D21:D27" si="0">IF(B21=0,"",C21/B21)</x:f>
      </x:c>
      <x:c r="E21" s="14" t="n">
        <x:f>COUNTIFS(Verifier_168!$D$2:$D$169,A21,Verifier_168!$P$2:$P$169,"false_accept")</x:f>
        <x:v>0</x:v>
      </x:c>
      <x:c r="F21" s="14" t="n">
        <x:f>COUNTIFS(Verifier_168!$D$2:$D$169,A21,Verifier_168!$P$2:$P$169,"false_reject")</x:f>
        <x:v>0</x:v>
      </x:c>
      <x:c r="G21" s="14" t="n">
        <x:f>COUNTIFS(Verifier_168!$D$2:$D$169,A21,Verifier_168!$P$2:$P$169,"invalid")</x:f>
        <x:v>0</x:v>
      </x:c>
      <x:c r="I21" s="71" t="str">
        <x:v>q25</x:v>
      </x:c>
      <x:c r="J21" s="71" t="n">
        <x:f>COUNTIFS(Verifier_168!$D$2:$D$169,I21,Verifier_168!$Q$2:$Q$169,"&lt;&gt;",Verifier_168!$R$2:$R$169,"&lt;&gt;")</x:f>
        <x:v>0</x:v>
      </x:c>
      <x:c r="K21" s="71" t="n">
        <x:f>COUNTIFS(Verifier_168!$D$2:$D$169,I21,Verifier_168!$T$2:$T$169,"agreement")</x:f>
        <x:v>0</x:v>
      </x:c>
      <x:c r="L21" s="74" t="str">
        <x:f>IF(J21=0,"",K21/J21)</x:f>
      </x:c>
      <x:c r="M21" s="71" t="n">
        <x:f>COUNTIFS(Verifier_168!$D$2:$D$169,I21,Verifier_168!$T$2:$T$169,"false_accept")</x:f>
        <x:v>0</x:v>
      </x:c>
      <x:c r="N21" s="71" t="n">
        <x:f>COUNTIFS(Verifier_168!$D$2:$D$169,I21,Verifier_168!$T$2:$T$169,"false_reject")</x:f>
        <x:v>0</x:v>
      </x:c>
      <x:c r="O21" s="71" t="n">
        <x:f>COUNTIFS(Verifier_168!$D$2:$D$169,I21,Verifier_168!$T$2:$T$169,"invalid")</x:f>
        <x:v>0</x:v>
      </x:c>
    </x:row>
    <x:row r="22">
      <x:c r="A22" s="16" t="s">
        <x:v>54</x:v>
      </x:c>
      <x:c r="B22" s="16" t="n">
        <x:f>COUNTIFS(Verifier_168!$D$2:$D$169,A22,Verifier_168!$K$2:$K$169,"&lt;&gt;",Verifier_168!$N$2:$N$169,"&lt;&gt;")</x:f>
        <x:v>0</x:v>
      </x:c>
      <x:c r="C22" s="16" t="n">
        <x:f>COUNTIFS(Verifier_168!$D$2:$D$169,A22,Verifier_168!$P$2:$P$169,"agreement")</x:f>
        <x:v>0</x:v>
      </x:c>
      <x:c r="D22" s="44" t="str">
        <x:f t="shared" si="0"/>
      </x:c>
      <x:c r="E22" s="16" t="n">
        <x:f>COUNTIFS(Verifier_168!$D$2:$D$169,A22,Verifier_168!$P$2:$P$169,"false_accept")</x:f>
        <x:v>0</x:v>
      </x:c>
      <x:c r="F22" s="16" t="n">
        <x:f>COUNTIFS(Verifier_168!$D$2:$D$169,A22,Verifier_168!$P$2:$P$169,"false_reject")</x:f>
        <x:v>0</x:v>
      </x:c>
      <x:c r="G22" s="16" t="n">
        <x:f>COUNTIFS(Verifier_168!$D$2:$D$169,A22,Verifier_168!$P$2:$P$169,"invalid")</x:f>
        <x:v>0</x:v>
      </x:c>
      <x:c r="I22" s="73" t="str">
        <x:v>q38</x:v>
      </x:c>
      <x:c r="J22" s="73" t="n">
        <x:f>COUNTIFS(Verifier_168!$D$2:$D$169,I22,Verifier_168!$Q$2:$Q$169,"&lt;&gt;",Verifier_168!$R$2:$R$169,"&lt;&gt;")</x:f>
        <x:v>0</x:v>
      </x:c>
      <x:c r="K22" s="73" t="n">
        <x:f>COUNTIFS(Verifier_168!$D$2:$D$169,I22,Verifier_168!$T$2:$T$169,"agreement")</x:f>
        <x:v>0</x:v>
      </x:c>
      <x:c r="L22" s="76" t="str">
        <x:f>IF(J22=0,"",K22/J22)</x:f>
      </x:c>
      <x:c r="M22" s="73" t="n">
        <x:f>COUNTIFS(Verifier_168!$D$2:$D$169,I22,Verifier_168!$T$2:$T$169,"false_accept")</x:f>
        <x:v>0</x:v>
      </x:c>
      <x:c r="N22" s="73" t="n">
        <x:f>COUNTIFS(Verifier_168!$D$2:$D$169,I22,Verifier_168!$T$2:$T$169,"false_reject")</x:f>
        <x:v>0</x:v>
      </x:c>
      <x:c r="O22" s="73" t="n">
        <x:f>COUNTIFS(Verifier_168!$D$2:$D$169,I22,Verifier_168!$T$2:$T$169,"invalid")</x:f>
        <x:v>0</x:v>
      </x:c>
    </x:row>
    <x:row r="23">
      <x:c r="A23" s="16" t="s">
        <x:v>80</x:v>
      </x:c>
      <x:c r="B23" s="16" t="n">
        <x:f>COUNTIFS(Verifier_168!$D$2:$D$169,A23,Verifier_168!$K$2:$K$169,"&lt;&gt;",Verifier_168!$N$2:$N$169,"&lt;&gt;")</x:f>
        <x:v>0</x:v>
      </x:c>
      <x:c r="C23" s="16" t="n">
        <x:f>COUNTIFS(Verifier_168!$D$2:$D$169,A23,Verifier_168!$P$2:$P$169,"agreement")</x:f>
        <x:v>0</x:v>
      </x:c>
      <x:c r="D23" s="44" t="str">
        <x:f t="shared" si="0"/>
      </x:c>
      <x:c r="E23" s="16" t="n">
        <x:f>COUNTIFS(Verifier_168!$D$2:$D$169,A23,Verifier_168!$P$2:$P$169,"false_accept")</x:f>
        <x:v>0</x:v>
      </x:c>
      <x:c r="F23" s="16" t="n">
        <x:f>COUNTIFS(Verifier_168!$D$2:$D$169,A23,Verifier_168!$P$2:$P$169,"false_reject")</x:f>
        <x:v>0</x:v>
      </x:c>
      <x:c r="G23" s="16" t="n">
        <x:f>COUNTIFS(Verifier_168!$D$2:$D$169,A23,Verifier_168!$P$2:$P$169,"invalid")</x:f>
        <x:v>0</x:v>
      </x:c>
      <x:c r="I23" s="73" t="str">
        <x:v>g3</x:v>
      </x:c>
      <x:c r="J23" s="73" t="n">
        <x:f>COUNTIFS(Verifier_168!$D$2:$D$169,I23,Verifier_168!$Q$2:$Q$169,"&lt;&gt;",Verifier_168!$R$2:$R$169,"&lt;&gt;")</x:f>
        <x:v>0</x:v>
      </x:c>
      <x:c r="K23" s="73" t="n">
        <x:f>COUNTIFS(Verifier_168!$D$2:$D$169,I23,Verifier_168!$T$2:$T$169,"agreement")</x:f>
        <x:v>0</x:v>
      </x:c>
      <x:c r="L23" s="76" t="str">
        <x:f>IF(J23=0,"",K23/J23)</x:f>
      </x:c>
      <x:c r="M23" s="73" t="n">
        <x:f>COUNTIFS(Verifier_168!$D$2:$D$169,I23,Verifier_168!$T$2:$T$169,"false_accept")</x:f>
        <x:v>0</x:v>
      </x:c>
      <x:c r="N23" s="73" t="n">
        <x:f>COUNTIFS(Verifier_168!$D$2:$D$169,I23,Verifier_168!$T$2:$T$169,"false_reject")</x:f>
        <x:v>0</x:v>
      </x:c>
      <x:c r="O23" s="73" t="n">
        <x:f>COUNTIFS(Verifier_168!$D$2:$D$169,I23,Verifier_168!$T$2:$T$169,"invalid")</x:f>
        <x:v>0</x:v>
      </x:c>
    </x:row>
    <x:row r="24">
      <x:c r="A24" s="16" t="s">
        <x:v>106</x:v>
      </x:c>
      <x:c r="B24" s="16" t="n">
        <x:f>COUNTIFS(Verifier_168!$D$2:$D$169,A24,Verifier_168!$K$2:$K$169,"&lt;&gt;",Verifier_168!$N$2:$N$169,"&lt;&gt;")</x:f>
        <x:v>0</x:v>
      </x:c>
      <x:c r="C24" s="16" t="n">
        <x:f>COUNTIFS(Verifier_168!$D$2:$D$169,A24,Verifier_168!$P$2:$P$169,"agreement")</x:f>
        <x:v>0</x:v>
      </x:c>
      <x:c r="D24" s="44" t="str">
        <x:f t="shared" si="0"/>
      </x:c>
      <x:c r="E24" s="16" t="n">
        <x:f>COUNTIFS(Verifier_168!$D$2:$D$169,A24,Verifier_168!$P$2:$P$169,"false_accept")</x:f>
        <x:v>0</x:v>
      </x:c>
      <x:c r="F24" s="16" t="n">
        <x:f>COUNTIFS(Verifier_168!$D$2:$D$169,A24,Verifier_168!$P$2:$P$169,"false_reject")</x:f>
        <x:v>0</x:v>
      </x:c>
      <x:c r="G24" s="16" t="n">
        <x:f>COUNTIFS(Verifier_168!$D$2:$D$169,A24,Verifier_168!$P$2:$P$169,"invalid")</x:f>
        <x:v>0</x:v>
      </x:c>
      <x:c r="I24" s="73" t="str">
        <x:v>g4</x:v>
      </x:c>
      <x:c r="J24" s="73" t="n">
        <x:f>COUNTIFS(Verifier_168!$D$2:$D$169,I24,Verifier_168!$Q$2:$Q$169,"&lt;&gt;",Verifier_168!$R$2:$R$169,"&lt;&gt;")</x:f>
        <x:v>0</x:v>
      </x:c>
      <x:c r="K24" s="73" t="n">
        <x:f>COUNTIFS(Verifier_168!$D$2:$D$169,I24,Verifier_168!$T$2:$T$169,"agreement")</x:f>
        <x:v>0</x:v>
      </x:c>
      <x:c r="L24" s="76" t="str">
        <x:f>IF(J24=0,"",K24/J24)</x:f>
      </x:c>
      <x:c r="M24" s="73" t="n">
        <x:f>COUNTIFS(Verifier_168!$D$2:$D$169,I24,Verifier_168!$T$2:$T$169,"false_accept")</x:f>
        <x:v>0</x:v>
      </x:c>
      <x:c r="N24" s="73" t="n">
        <x:f>COUNTIFS(Verifier_168!$D$2:$D$169,I24,Verifier_168!$T$2:$T$169,"false_reject")</x:f>
        <x:v>0</x:v>
      </x:c>
      <x:c r="O24" s="73" t="n">
        <x:f>COUNTIFS(Verifier_168!$D$2:$D$169,I24,Verifier_168!$T$2:$T$169,"invalid")</x:f>
        <x:v>0</x:v>
      </x:c>
    </x:row>
    <x:row r="25">
      <x:c r="A25" s="16" t="s">
        <x:v>133</x:v>
      </x:c>
      <x:c r="B25" s="16" t="n">
        <x:f>COUNTIFS(Verifier_168!$D$2:$D$169,A25,Verifier_168!$K$2:$K$169,"&lt;&gt;",Verifier_168!$N$2:$N$169,"&lt;&gt;")</x:f>
        <x:v>0</x:v>
      </x:c>
      <x:c r="C25" s="16" t="n">
        <x:f>COUNTIFS(Verifier_168!$D$2:$D$169,A25,Verifier_168!$P$2:$P$169,"agreement")</x:f>
        <x:v>0</x:v>
      </x:c>
      <x:c r="D25" s="44" t="str">
        <x:f t="shared" si="0"/>
      </x:c>
      <x:c r="E25" s="16" t="n">
        <x:f>COUNTIFS(Verifier_168!$D$2:$D$169,A25,Verifier_168!$P$2:$P$169,"false_accept")</x:f>
        <x:v>0</x:v>
      </x:c>
      <x:c r="F25" s="16" t="n">
        <x:f>COUNTIFS(Verifier_168!$D$2:$D$169,A25,Verifier_168!$P$2:$P$169,"false_reject")</x:f>
        <x:v>0</x:v>
      </x:c>
      <x:c r="G25" s="16" t="n">
        <x:f>COUNTIFS(Verifier_168!$D$2:$D$169,A25,Verifier_168!$P$2:$P$169,"invalid")</x:f>
        <x:v>0</x:v>
      </x:c>
      <x:c r="I25" s="73" t="str">
        <x:v>d32</x:v>
      </x:c>
      <x:c r="J25" s="73" t="n">
        <x:f>COUNTIFS(Verifier_168!$D$2:$D$169,I25,Verifier_168!$Q$2:$Q$169,"&lt;&gt;",Verifier_168!$R$2:$R$169,"&lt;&gt;")</x:f>
        <x:v>0</x:v>
      </x:c>
      <x:c r="K25" s="73" t="n">
        <x:f>COUNTIFS(Verifier_168!$D$2:$D$169,I25,Verifier_168!$T$2:$T$169,"agreement")</x:f>
        <x:v>0</x:v>
      </x:c>
      <x:c r="L25" s="76" t="str">
        <x:f>IF(J25=0,"",K25/J25)</x:f>
      </x:c>
      <x:c r="M25" s="73" t="n">
        <x:f>COUNTIFS(Verifier_168!$D$2:$D$169,I25,Verifier_168!$T$2:$T$169,"false_accept")</x:f>
        <x:v>0</x:v>
      </x:c>
      <x:c r="N25" s="73" t="n">
        <x:f>COUNTIFS(Verifier_168!$D$2:$D$169,I25,Verifier_168!$T$2:$T$169,"false_reject")</x:f>
        <x:v>0</x:v>
      </x:c>
      <x:c r="O25" s="73" t="n">
        <x:f>COUNTIFS(Verifier_168!$D$2:$D$169,I25,Verifier_168!$T$2:$T$169,"invalid")</x:f>
        <x:v>0</x:v>
      </x:c>
    </x:row>
    <x:row r="26">
      <x:c r="A26" s="16" t="s">
        <x:v>159</x:v>
      </x:c>
      <x:c r="B26" s="16" t="n">
        <x:f>COUNTIFS(Verifier_168!$D$2:$D$169,A26,Verifier_168!$K$2:$K$169,"&lt;&gt;",Verifier_168!$N$2:$N$169,"&lt;&gt;")</x:f>
        <x:v>0</x:v>
      </x:c>
      <x:c r="C26" s="16" t="n">
        <x:f>COUNTIFS(Verifier_168!$D$2:$D$169,A26,Verifier_168!$P$2:$P$169,"agreement")</x:f>
        <x:v>0</x:v>
      </x:c>
      <x:c r="D26" s="44" t="str">
        <x:f t="shared" si="0"/>
      </x:c>
      <x:c r="E26" s="16" t="n">
        <x:f>COUNTIFS(Verifier_168!$D$2:$D$169,A26,Verifier_168!$P$2:$P$169,"false_accept")</x:f>
        <x:v>0</x:v>
      </x:c>
      <x:c r="F26" s="16" t="n">
        <x:f>COUNTIFS(Verifier_168!$D$2:$D$169,A26,Verifier_168!$P$2:$P$169,"false_reject")</x:f>
        <x:v>0</x:v>
      </x:c>
      <x:c r="G26" s="16" t="n">
        <x:f>COUNTIFS(Verifier_168!$D$2:$D$169,A26,Verifier_168!$P$2:$P$169,"invalid")</x:f>
        <x:v>0</x:v>
      </x:c>
      <x:c r="I26" s="73" t="str">
        <x:v>o120</x:v>
      </x:c>
      <x:c r="J26" s="73" t="n">
        <x:f>COUNTIFS(Verifier_168!$D$2:$D$169,I26,Verifier_168!$Q$2:$Q$169,"&lt;&gt;",Verifier_168!$R$2:$R$169,"&lt;&gt;")</x:f>
        <x:v>0</x:v>
      </x:c>
      <x:c r="K26" s="73" t="n">
        <x:f>COUNTIFS(Verifier_168!$D$2:$D$169,I26,Verifier_168!$T$2:$T$169,"agreement")</x:f>
        <x:v>0</x:v>
      </x:c>
      <x:c r="L26" s="76" t="str">
        <x:f>IF(J26=0,"",K26/J26)</x:f>
      </x:c>
      <x:c r="M26" s="73" t="n">
        <x:f>COUNTIFS(Verifier_168!$D$2:$D$169,I26,Verifier_168!$T$2:$T$169,"false_accept")</x:f>
        <x:v>0</x:v>
      </x:c>
      <x:c r="N26" s="73" t="n">
        <x:f>COUNTIFS(Verifier_168!$D$2:$D$169,I26,Verifier_168!$T$2:$T$169,"false_reject")</x:f>
        <x:v>0</x:v>
      </x:c>
      <x:c r="O26" s="73" t="n">
        <x:f>COUNTIFS(Verifier_168!$D$2:$D$169,I26,Verifier_168!$T$2:$T$169,"invalid")</x:f>
        <x:v>0</x:v>
      </x:c>
    </x:row>
    <x:row r="27">
      <x:c r="A27" s="18" t="s">
        <x:v>186</x:v>
      </x:c>
      <x:c r="B27" s="18" t="n">
        <x:f>COUNTIFS(Verifier_168!$D$2:$D$169,A27,Verifier_168!$K$2:$K$169,"&lt;&gt;",Verifier_168!$N$2:$N$169,"&lt;&gt;")</x:f>
        <x:v>0</x:v>
      </x:c>
      <x:c r="C27" s="18" t="n">
        <x:f>COUNTIFS(Verifier_168!$D$2:$D$169,A27,Verifier_168!$P$2:$P$169,"agreement")</x:f>
        <x:v>0</x:v>
      </x:c>
      <x:c r="D27" s="45" t="str">
        <x:f t="shared" si="0"/>
      </x:c>
      <x:c r="E27" s="18" t="n">
        <x:f>COUNTIFS(Verifier_168!$D$2:$D$169,A27,Verifier_168!$P$2:$P$169,"false_accept")</x:f>
        <x:v>0</x:v>
      </x:c>
      <x:c r="F27" s="18" t="n">
        <x:f>COUNTIFS(Verifier_168!$D$2:$D$169,A27,Verifier_168!$P$2:$P$169,"false_reject")</x:f>
        <x:v>0</x:v>
      </x:c>
      <x:c r="G27" s="18" t="n">
        <x:f>COUNTIFS(Verifier_168!$D$2:$D$169,A27,Verifier_168!$P$2:$P$169,"invalid")</x:f>
        <x:v>0</x:v>
      </x:c>
      <x:c r="I27" s="72" t="str">
        <x:v>v4</x:v>
      </x:c>
      <x:c r="J27" s="72" t="n">
        <x:f>COUNTIFS(Verifier_168!$D$2:$D$169,I27,Verifier_168!$Q$2:$Q$169,"&lt;&gt;",Verifier_168!$R$2:$R$169,"&lt;&gt;")</x:f>
        <x:v>0</x:v>
      </x:c>
      <x:c r="K27" s="72" t="n">
        <x:f>COUNTIFS(Verifier_168!$D$2:$D$169,I27,Verifier_168!$T$2:$T$169,"agreement")</x:f>
        <x:v>0</x:v>
      </x:c>
      <x:c r="L27" s="75" t="str">
        <x:f>IF(J27=0,"",K27/J27)</x:f>
      </x:c>
      <x:c r="M27" s="72" t="n">
        <x:f>COUNTIFS(Verifier_168!$D$2:$D$169,I27,Verifier_168!$T$2:$T$169,"false_accept")</x:f>
        <x:v>0</x:v>
      </x:c>
      <x:c r="N27" s="72" t="n">
        <x:f>COUNTIFS(Verifier_168!$D$2:$D$169,I27,Verifier_168!$T$2:$T$169,"false_reject")</x:f>
        <x:v>0</x:v>
      </x:c>
      <x:c r="O27" s="72" t="n">
        <x:f>COUNTIFS(Verifier_168!$D$2:$D$169,I27,Verifier_168!$T$2:$T$169,"invalid")</x:f>
        <x:v>0</x:v>
      </x:c>
    </x:row>
    <x:row r="28">
      <x:c r="I28"/>
      <x:c r="J28"/>
      <x:c r="K28"/>
      <x:c r="L28"/>
      <x:c r="M28"/>
      <x:c r="N28"/>
      <x:c r="O28"/>
    </x:row>
    <x:row r="29" ht="32" customHeight="1">
      <x:c r="A29" s="11" t="str">
        <x:v>Strict verifier by domain</x:v>
      </x:c>
      <x:c r="B29" s="12" t="s">
        <x:v>281</x:v>
      </x:c>
      <x:c r="C29" s="12" t="s">
        <x:v>282</x:v>
      </x:c>
      <x:c r="D29" s="12" t="s">
        <x:v>283</x:v>
      </x:c>
      <x:c r="E29" s="12" t="s">
        <x:v>284</x:v>
      </x:c>
      <x:c r="F29" s="12" t="s">
        <x:v>285</x:v>
      </x:c>
      <x:c r="G29" s="13" t="s">
        <x:v>286</x:v>
      </x:c>
      <x:c r="I29" s="70" t="str">
        <x:v>Title-aware verifier by domain</x:v>
      </x:c>
      <x:c r="J29" s="70" t="str">
        <x:v>n</x:v>
      </x:c>
      <x:c r="K29" s="70" t="str">
        <x:v>agreement</x:v>
      </x:c>
      <x:c r="L29" s="70" t="str">
        <x:v>rate</x:v>
      </x:c>
      <x:c r="M29" s="70" t="str">
        <x:v>false_accept</x:v>
      </x:c>
      <x:c r="N29" s="70" t="str">
        <x:v>false_reject</x:v>
      </x:c>
      <x:c r="O29" s="70" t="str">
        <x:v>invalid</x:v>
      </x:c>
    </x:row>
    <x:row r="30">
      <x:c r="A30" s="14" t="s">
        <x:v>14</x:v>
      </x:c>
      <x:c r="B30" s="14" t="n">
        <x:f>COUNTIFS(Verifier_168!$E$2:$E$169,A30,Verifier_168!$K$2:$K$169,"&lt;&gt;",Verifier_168!$N$2:$N$169,"&lt;&gt;")</x:f>
        <x:v>0</x:v>
      </x:c>
      <x:c r="C30" s="14" t="n">
        <x:f>COUNTIFS(Verifier_168!$E$2:$E$169,A30,Verifier_168!$P$2:$P$169,"agreement")</x:f>
        <x:v>0</x:v>
      </x:c>
      <x:c r="D30" s="43" t="str">
        <x:f>IF(B30=0,"",C30/B30)</x:f>
      </x:c>
      <x:c r="E30" s="14" t="n">
        <x:f>COUNTIFS(Verifier_168!$E$2:$E$169,A30,Verifier_168!$P$2:$P$169,"false_accept")</x:f>
        <x:v>0</x:v>
      </x:c>
      <x:c r="F30" s="14" t="n">
        <x:f>COUNTIFS(Verifier_168!$E$2:$E$169,A30,Verifier_168!$P$2:$P$169,"false_reject")</x:f>
        <x:v>0</x:v>
      </x:c>
      <x:c r="G30" s="14" t="n">
        <x:f>COUNTIFS(Verifier_168!$E$2:$E$169,A30,Verifier_168!$P$2:$P$169,"invalid")</x:f>
        <x:v>0</x:v>
      </x:c>
      <x:c r="I30" s="71" t="str">
        <x:v>songs</x:v>
      </x:c>
      <x:c r="J30" s="71" t="n">
        <x:f>COUNTIFS(Verifier_168!$E$2:$E$169,I30,Verifier_168!$Q$2:$Q$169,"&lt;&gt;",Verifier_168!$R$2:$R$169,"&lt;&gt;")</x:f>
        <x:v>0</x:v>
      </x:c>
      <x:c r="K30" s="71" t="n">
        <x:f>COUNTIFS(Verifier_168!$E$2:$E$169,I30,Verifier_168!$T$2:$T$169,"agreement")</x:f>
        <x:v>0</x:v>
      </x:c>
      <x:c r="L30" s="74" t="str">
        <x:f>IF(J30=0,"",K30/J30)</x:f>
      </x:c>
      <x:c r="M30" s="71" t="n">
        <x:f>COUNTIFS(Verifier_168!$E$2:$E$169,I30,Verifier_168!$T$2:$T$169,"false_accept")</x:f>
        <x:v>0</x:v>
      </x:c>
      <x:c r="N30" s="71" t="n">
        <x:f>COUNTIFS(Verifier_168!$E$2:$E$169,I30,Verifier_168!$T$2:$T$169,"false_reject")</x:f>
        <x:v>0</x:v>
      </x:c>
      <x:c r="O30" s="71" t="n">
        <x:f>COUNTIFS(Verifier_168!$E$2:$E$169,I30,Verifier_168!$T$2:$T$169,"invalid")</x:f>
        <x:v>0</x:v>
      </x:c>
    </x:row>
    <x:row r="31">
      <x:c r="A31" s="16" t="s">
        <x:v>27</x:v>
      </x:c>
      <x:c r="B31" s="16" t="n">
        <x:f>COUNTIFS(Verifier_168!$E$2:$E$169,A31,Verifier_168!$K$2:$K$169,"&lt;&gt;",Verifier_168!$N$2:$N$169,"&lt;&gt;")</x:f>
        <x:v>0</x:v>
      </x:c>
      <x:c r="C31" s="16" t="n">
        <x:f>COUNTIFS(Verifier_168!$E$2:$E$169,A31,Verifier_168!$P$2:$P$169,"agreement")</x:f>
        <x:v>0</x:v>
      </x:c>
      <x:c r="D31" s="44" t="str">
        <x:f>IF(B31=0,"",C31/B31)</x:f>
      </x:c>
      <x:c r="E31" s="16" t="n">
        <x:f>COUNTIFS(Verifier_168!$E$2:$E$169,A31,Verifier_168!$P$2:$P$169,"false_accept")</x:f>
        <x:v>0</x:v>
      </x:c>
      <x:c r="F31" s="16" t="n">
        <x:f>COUNTIFS(Verifier_168!$E$2:$E$169,A31,Verifier_168!$P$2:$P$169,"false_reject")</x:f>
        <x:v>0</x:v>
      </x:c>
      <x:c r="G31" s="16" t="n">
        <x:f>COUNTIFS(Verifier_168!$E$2:$E$169,A31,Verifier_168!$P$2:$P$169,"invalid")</x:f>
        <x:v>0</x:v>
      </x:c>
      <x:c r="I31" s="73" t="str">
        <x:v>movies</x:v>
      </x:c>
      <x:c r="J31" s="73" t="n">
        <x:f>COUNTIFS(Verifier_168!$E$2:$E$169,I31,Verifier_168!$Q$2:$Q$169,"&lt;&gt;",Verifier_168!$R$2:$R$169,"&lt;&gt;")</x:f>
        <x:v>0</x:v>
      </x:c>
      <x:c r="K31" s="73" t="n">
        <x:f>COUNTIFS(Verifier_168!$E$2:$E$169,I31,Verifier_168!$T$2:$T$169,"agreement")</x:f>
        <x:v>0</x:v>
      </x:c>
      <x:c r="L31" s="76" t="str">
        <x:f>IF(J31=0,"",K31/J31)</x:f>
      </x:c>
      <x:c r="M31" s="73" t="n">
        <x:f>COUNTIFS(Verifier_168!$E$2:$E$169,I31,Verifier_168!$T$2:$T$169,"false_accept")</x:f>
        <x:v>0</x:v>
      </x:c>
      <x:c r="N31" s="73" t="n">
        <x:f>COUNTIFS(Verifier_168!$E$2:$E$169,I31,Verifier_168!$T$2:$T$169,"false_reject")</x:f>
        <x:v>0</x:v>
      </x:c>
      <x:c r="O31" s="73" t="n">
        <x:f>COUNTIFS(Verifier_168!$E$2:$E$169,I31,Verifier_168!$T$2:$T$169,"invalid")</x:f>
        <x:v>0</x:v>
      </x:c>
    </x:row>
    <x:row r="32">
      <x:c r="A32" s="18" t="s">
        <x:v>40</x:v>
      </x:c>
      <x:c r="B32" s="18" t="n">
        <x:f>COUNTIFS(Verifier_168!$E$2:$E$169,A32,Verifier_168!$K$2:$K$169,"&lt;&gt;",Verifier_168!$N$2:$N$169,"&lt;&gt;")</x:f>
        <x:v>0</x:v>
      </x:c>
      <x:c r="C32" s="18" t="n">
        <x:f>COUNTIFS(Verifier_168!$E$2:$E$169,A32,Verifier_168!$P$2:$P$169,"agreement")</x:f>
        <x:v>0</x:v>
      </x:c>
      <x:c r="D32" s="45" t="str">
        <x:f>IF(B32=0,"",C32/B32)</x:f>
      </x:c>
      <x:c r="E32" s="18" t="n">
        <x:f>COUNTIFS(Verifier_168!$E$2:$E$169,A32,Verifier_168!$P$2:$P$169,"false_accept")</x:f>
        <x:v>0</x:v>
      </x:c>
      <x:c r="F32" s="18" t="n">
        <x:f>COUNTIFS(Verifier_168!$E$2:$E$169,A32,Verifier_168!$P$2:$P$169,"false_reject")</x:f>
        <x:v>0</x:v>
      </x:c>
      <x:c r="G32" s="18" t="n">
        <x:f>COUNTIFS(Verifier_168!$E$2:$E$169,A32,Verifier_168!$P$2:$P$169,"invalid")</x:f>
        <x:v>0</x:v>
      </x:c>
      <x:c r="I32" s="72" t="str">
        <x:v>bands</x:v>
      </x:c>
      <x:c r="J32" s="72" t="n">
        <x:f>COUNTIFS(Verifier_168!$E$2:$E$169,I32,Verifier_168!$Q$2:$Q$169,"&lt;&gt;",Verifier_168!$R$2:$R$169,"&lt;&gt;")</x:f>
        <x:v>0</x:v>
      </x:c>
      <x:c r="K32" s="72" t="n">
        <x:f>COUNTIFS(Verifier_168!$E$2:$E$169,I32,Verifier_168!$T$2:$T$169,"agreement")</x:f>
        <x:v>0</x:v>
      </x:c>
      <x:c r="L32" s="75" t="str">
        <x:f>IF(J32=0,"",K32/J32)</x:f>
      </x:c>
      <x:c r="M32" s="72" t="n">
        <x:f>COUNTIFS(Verifier_168!$E$2:$E$169,I32,Verifier_168!$T$2:$T$169,"false_accept")</x:f>
        <x:v>0</x:v>
      </x:c>
      <x:c r="N32" s="72" t="n">
        <x:f>COUNTIFS(Verifier_168!$E$2:$E$169,I32,Verifier_168!$T$2:$T$169,"false_reject")</x:f>
        <x:v>0</x:v>
      </x:c>
      <x:c r="O32" s="72" t="n">
        <x:f>COUNTIFS(Verifier_168!$E$2:$E$169,I32,Verifier_168!$T$2:$T$169,"invalid")</x:f>
        <x:v>0</x:v>
      </x:c>
    </x:row>
    <x:row r="35" ht="32" customHeight="1">
      <x:c r="A35" s="11" t="s">
        <x:v>287</x:v>
      </x:c>
      <x:c r="B35" s="12" t="s">
        <x:v>271</x:v>
      </x:c>
      <x:c r="C35" s="12" t="s">
        <x:v>268</x:v>
      </x:c>
      <x:c r="D35" s="12" t="s">
        <x:v>272</x:v>
      </x:c>
      <x:c r="E35" s="13" t="s">
        <x:v>273</x:v>
      </x:c>
    </x:row>
    <x:row r="36">
      <x:c r="A36" s="14" t="s">
        <x:v>288</x:v>
      </x:c>
      <x:c r="B36" s="14" t="n">
        <x:f>COUNTIF(Style_24!$K$2:$K$25,"&lt;&gt;")</x:f>
        <x:v>0</x:v>
      </x:c>
      <x:c r="C36" s="43" t="n">
        <x:f>B36/24</x:f>
        <x:v>0</x:v>
      </x:c>
      <x:c r="D36" s="43"/>
      <x:c r="E36" s="43"/>
    </x:row>
    <x:row r="37">
      <x:c r="A37" s="16" t="s">
        <x:v>289</x:v>
      </x:c>
      <x:c r="B37" s="16" t="n">
        <x:f>COUNTIF(Style_24!$K$2:$K$25,"yes")</x:f>
        <x:v>0</x:v>
      </x:c>
      <x:c r="C37" s="44" t="str">
        <x:f>IF(B36=0,"",B37/B36)</x:f>
      </x:c>
      <x:c r="D37" s="44" t="str">
        <x:f>IF(B36=0,"",((C37+$B$3^2/(2*B36))/(1+$B$3^2/B36))-$B$3*SQRT((C37*(1-C37)/B36+$B$3^2/(4*B36^2))/(1+$B$3^2/B36)^2))</x:f>
      </x:c>
      <x:c r="E37" s="44" t="str">
        <x:f>IF(B36=0,"",((C37+$B$3^2/(2*B36))/(1+$B$3^2/B36))+$B$3*SQRT((C37*(1-C37)/B36+$B$3^2/(4*B36^2))/(1+$B$3^2/B36)^2))</x:f>
      </x:c>
    </x:row>
    <x:row r="38">
      <x:c r="A38" s="18" t="s">
        <x:v>290</x:v>
      </x:c>
      <x:c r="B38" s="18" t="n">
        <x:f>COUNTIF(Style_24!$L$2:$L$25,"yes")</x:f>
        <x:v>0</x:v>
      </x:c>
      <x:c r="C38" s="45" t="str">
        <x:f>IF(COUNTIF(Style_24!$L$2:$L$25,"&lt;&gt;")=0,"",B38/COUNTIF(Style_24!$L$2:$L$25,"&lt;&gt;"))</x:f>
      </x:c>
      <x:c r="D38" s="45"/>
      <x:c r="E38" s="45"/>
    </x:row>
    <x:row r="40" ht="32" customHeight="1">
      <x:c r="A40" s="11" t="s">
        <x:v>291</x:v>
      </x:c>
      <x:c r="B40" s="12" t="s">
        <x:v>281</x:v>
      </x:c>
      <x:c r="C40" s="12" t="s">
        <x:v>292</x:v>
      </x:c>
      <x:c r="D40" s="13" t="s">
        <x:v>283</x:v>
      </x:c>
    </x:row>
    <x:row r="41">
      <x:c r="A41" s="14" t="s">
        <x:v>13</x:v>
      </x:c>
      <x:c r="B41" s="14" t="n">
        <x:f>COUNTIFS(Style_24!$D$2:$D$25,A41,Style_24!$K$2:$K$25,"&lt;&gt;")</x:f>
        <x:v>0</x:v>
      </x:c>
      <x:c r="C41" s="14" t="n">
        <x:f>COUNTIFS(Style_24!$D$2:$D$25,A41,Style_24!$K$2:$K$25,"yes")</x:f>
        <x:v>0</x:v>
      </x:c>
      <x:c r="D41" s="43" t="str">
        <x:f>IF(B41=0,"",C41/B41)</x:f>
      </x:c>
    </x:row>
    <x:row r="42">
      <x:c r="A42" s="16" t="s">
        <x:v>54</x:v>
      </x:c>
      <x:c r="B42" s="16" t="n">
        <x:f>COUNTIFS(Style_24!$D$2:$D$25,A42,Style_24!$K$2:$K$25,"&lt;&gt;")</x:f>
        <x:v>0</x:v>
      </x:c>
      <x:c r="C42" s="16" t="n">
        <x:f>COUNTIFS(Style_24!$D$2:$D$25,A42,Style_24!$K$2:$K$25,"yes")</x:f>
        <x:v>0</x:v>
      </x:c>
      <x:c r="D42" s="44" t="str">
        <x:f>IF(B42=0,"",C42/B42)</x:f>
      </x:c>
    </x:row>
    <x:row r="43">
      <x:c r="A43" s="16" t="s">
        <x:v>80</x:v>
      </x:c>
      <x:c r="B43" s="16" t="n">
        <x:f>COUNTIFS(Style_24!$D$2:$D$25,A43,Style_24!$K$2:$K$25,"&lt;&gt;")</x:f>
        <x:v>0</x:v>
      </x:c>
      <x:c r="C43" s="16" t="n">
        <x:f>COUNTIFS(Style_24!$D$2:$D$25,A43,Style_24!$K$2:$K$25,"yes")</x:f>
        <x:v>0</x:v>
      </x:c>
      <x:c r="D43" s="44" t="str">
        <x:f>IF(B43=0,"",C43/B43)</x:f>
      </x:c>
    </x:row>
    <x:row r="44">
      <x:c r="A44" s="18" t="s">
        <x:v>106</x:v>
      </x:c>
      <x:c r="B44" s="18" t="n">
        <x:f>COUNTIFS(Style_24!$D$2:$D$25,A44,Style_24!$K$2:$K$25,"&lt;&gt;")</x:f>
        <x:v>0</x:v>
      </x:c>
      <x:c r="C44" s="18" t="n">
        <x:f>COUNTIFS(Style_24!$D$2:$D$25,A44,Style_24!$K$2:$K$25,"yes")</x:f>
        <x:v>0</x:v>
      </x:c>
      <x:c r="D44" s="45" t="str">
        <x:f>IF(B44=0,"",C44/B44)</x:f>
      </x:c>
    </x:row>
    <x:row r="46" ht="32" customHeight="1">
      <x:c r="A46" s="11" t="s">
        <x:v>293</x:v>
      </x:c>
      <x:c r="B46" s="12" t="s">
        <x:v>281</x:v>
      </x:c>
      <x:c r="C46" s="12" t="s">
        <x:v>292</x:v>
      </x:c>
      <x:c r="D46" s="13" t="s">
        <x:v>283</x:v>
      </x:c>
    </x:row>
    <x:row r="47">
      <x:c r="A47" s="14" t="s">
        <x:v>14</x:v>
      </x:c>
      <x:c r="B47" s="14" t="n">
        <x:f>COUNTIFS(Style_24!$E$2:$E$25,A47,Style_24!$K$2:$K$25,"&lt;&gt;")</x:f>
        <x:v>0</x:v>
      </x:c>
      <x:c r="C47" s="14" t="n">
        <x:f>COUNTIFS(Style_24!$E$2:$E$25,A47,Style_24!$K$2:$K$25,"yes")</x:f>
        <x:v>0</x:v>
      </x:c>
      <x:c r="D47" s="43" t="str">
        <x:f>IF(B47=0,"",C47/B47)</x:f>
      </x:c>
    </x:row>
    <x:row r="48">
      <x:c r="A48" s="16" t="s">
        <x:v>27</x:v>
      </x:c>
      <x:c r="B48" s="16" t="n">
        <x:f>COUNTIFS(Style_24!$E$2:$E$25,A48,Style_24!$K$2:$K$25,"&lt;&gt;")</x:f>
        <x:v>0</x:v>
      </x:c>
      <x:c r="C48" s="16" t="n">
        <x:f>COUNTIFS(Style_24!$E$2:$E$25,A48,Style_24!$K$2:$K$25,"yes")</x:f>
        <x:v>0</x:v>
      </x:c>
      <x:c r="D48" s="44" t="str">
        <x:f>IF(B48=0,"",C48/B48)</x:f>
      </x:c>
    </x:row>
    <x:row r="49">
      <x:c r="A49" s="18" t="s">
        <x:v>40</x:v>
      </x:c>
      <x:c r="B49" s="18" t="n">
        <x:f>COUNTIFS(Style_24!$E$2:$E$25,A49,Style_24!$K$2:$K$25,"&lt;&gt;")</x:f>
        <x:v>0</x:v>
      </x:c>
      <x:c r="C49" s="18" t="n">
        <x:f>COUNTIFS(Style_24!$E$2:$E$25,A49,Style_24!$K$2:$K$25,"yes")</x:f>
        <x:v>0</x:v>
      </x:c>
      <x:c r="D49" s="45" t="str">
        <x:f>IF(B49=0,"",C49/B49)</x:f>
      </x:c>
    </x:row>
    <x:row r="52" ht="22" customHeight="1">
      <x:c r="A52" s="46" t="s">
        <x:v>294</x:v>
      </x:c>
      <x:c r="B52" s="46" t="s">
        <x:v>271</x:v>
      </x:c>
      <x:c r="C52" s="46" t="s">
        <x:v>268</x:v>
      </x:c>
      <x:c r="D52" s="46" t="s">
        <x:v>272</x:v>
      </x:c>
      <x:c r="E52" s="46" t="s">
        <x:v>273</x:v>
      </x:c>
    </x:row>
    <x:row r="53" ht="16.5" customHeight="1">
      <x:c r="A53" t="s">
        <x:v>288</x:v>
      </x:c>
      <x:c r="B53" t="n">
        <x:f>COUNTIF(Comic_24!$K$2:$K$25,"&lt;&gt;")</x:f>
        <x:v>0</x:v>
      </x:c>
      <x:c r="C53" s="42" t="n">
        <x:f>B53/24</x:f>
        <x:v>0</x:v>
      </x:c>
    </x:row>
    <x:row r="54" ht="16.5" customHeight="1">
      <x:c r="A54" t="s">
        <x:v>289</x:v>
      </x:c>
      <x:c r="B54" t="n">
        <x:f>COUNTIF(Comic_24!$K$2:$K$25,"yes")</x:f>
        <x:v>0</x:v>
      </x:c>
      <x:c r="C54" s="42" t="str">
        <x:f>IF(B53=0,"",B54/B53)</x:f>
      </x:c>
      <x:c r="D54" s="42" t="str">
        <x:f>IF(B53=0,"",((C54+$B$3^2/(2*B53))/(1+$B$3^2/B53))-$B$3*SQRT((C54*(1-C54)/B53+$B$3^2/(4*B53^2))/(1+$B$3^2/B53)^2))</x:f>
      </x:c>
      <x:c r="E54" s="42" t="str">
        <x:f>IF(B53=0,"",((C54+$B$3^2/(2*B53))/(1+$B$3^2/B53))+$B$3*SQRT((C54*(1-C54)/B53+$B$3^2/(4*B53^2))/(1+$B$3^2/B53)^2))</x:f>
      </x:c>
    </x:row>
    <x:row r="55" ht="16.5" customHeight="1">
      <x:c r="A55" t="s">
        <x:v>290</x:v>
      </x:c>
      <x:c r="B55" t="n">
        <x:f>COUNTIF(Comic_24!$L$2:$L$25,"yes")</x:f>
        <x:v>0</x:v>
      </x:c>
      <x:c r="C55" s="42" t="str">
        <x:f>IF(COUNTIF(Comic_24!$L$2:$L$25,"&lt;&gt;")=0,"",B55/COUNTIF(Comic_24!$L$2:$L$25,"&lt;&gt;"))</x:f>
      </x:c>
    </x:row>
    <x:row r="56" ht="16.5" customHeight="1"/>
    <x:row r="57" ht="22" customHeight="1">
      <x:c r="A57" s="46" t="s">
        <x:v>295</x:v>
      </x:c>
      <x:c r="B57" s="46" t="s">
        <x:v>281</x:v>
      </x:c>
      <x:c r="C57" s="46" t="s">
        <x:v>292</x:v>
      </x:c>
      <x:c r="D57" s="46" t="s">
        <x:v>283</x:v>
      </x:c>
    </x:row>
    <x:row r="58" ht="16.5" customHeight="1">
      <x:c r="A58" t="s">
        <x:v>13</x:v>
      </x:c>
      <x:c r="B58" t="n">
        <x:f>COUNTIFS(Comic_24!$D$2:$D$25,A58,Comic_24!$K$2:$K$25,"&lt;&gt;")</x:f>
        <x:v>0</x:v>
      </x:c>
      <x:c r="C58" t="n">
        <x:f>COUNTIFS(Comic_24!$D$2:$D$25,A58,Comic_24!$K$2:$K$25,"yes")</x:f>
        <x:v>0</x:v>
      </x:c>
      <x:c r="D58" s="42" t="str">
        <x:f>IF(B58=0,"",C58/B58)</x:f>
      </x:c>
    </x:row>
    <x:row r="59" ht="16.5" customHeight="1">
      <x:c r="A59" t="s">
        <x:v>54</x:v>
      </x:c>
      <x:c r="B59" t="n">
        <x:f>COUNTIFS(Comic_24!$D$2:$D$25,A59,Comic_24!$K$2:$K$25,"&lt;&gt;")</x:f>
        <x:v>0</x:v>
      </x:c>
      <x:c r="C59" t="n">
        <x:f>COUNTIFS(Comic_24!$D$2:$D$25,A59,Comic_24!$K$2:$K$25,"yes")</x:f>
        <x:v>0</x:v>
      </x:c>
      <x:c r="D59" s="42" t="str">
        <x:f>IF(B59=0,"",C59/B59)</x:f>
      </x:c>
    </x:row>
    <x:row r="60" ht="16.5" customHeight="1">
      <x:c r="A60" t="s">
        <x:v>80</x:v>
      </x:c>
      <x:c r="B60" t="n">
        <x:f>COUNTIFS(Comic_24!$D$2:$D$25,A60,Comic_24!$K$2:$K$25,"&lt;&gt;")</x:f>
        <x:v>0</x:v>
      </x:c>
      <x:c r="C60" t="n">
        <x:f>COUNTIFS(Comic_24!$D$2:$D$25,A60,Comic_24!$K$2:$K$25,"yes")</x:f>
        <x:v>0</x:v>
      </x:c>
      <x:c r="D60" s="42" t="str">
        <x:f>IF(B60=0,"",C60/B60)</x:f>
      </x:c>
    </x:row>
    <x:row r="61" ht="16.5" customHeight="1">
      <x:c r="A61" t="s">
        <x:v>106</x:v>
      </x:c>
      <x:c r="B61" t="n">
        <x:f>COUNTIFS(Comic_24!$D$2:$D$25,A61,Comic_24!$K$2:$K$25,"&lt;&gt;")</x:f>
        <x:v>0</x:v>
      </x:c>
      <x:c r="C61" t="n">
        <x:f>COUNTIFS(Comic_24!$D$2:$D$25,A61,Comic_24!$K$2:$K$25,"yes")</x:f>
        <x:v>0</x:v>
      </x:c>
      <x:c r="D61" s="42" t="str">
        <x:f>IF(B61=0,"",C61/B61)</x:f>
      </x:c>
    </x:row>
    <x:row r="62" ht="16.5" customHeight="1"/>
    <x:row r="63" ht="22" customHeight="1">
      <x:c r="A63" s="46" t="s">
        <x:v>296</x:v>
      </x:c>
      <x:c r="B63" s="46" t="s">
        <x:v>281</x:v>
      </x:c>
      <x:c r="C63" s="46" t="s">
        <x:v>292</x:v>
      </x:c>
      <x:c r="D63" s="46" t="s">
        <x:v>283</x:v>
      </x:c>
    </x:row>
    <x:row r="64" ht="16.5" customHeight="1">
      <x:c r="A64" t="s">
        <x:v>14</x:v>
      </x:c>
      <x:c r="B64" t="n">
        <x:f>COUNTIFS(Comic_24!$E$2:$E$25,A64,Comic_24!$K$2:$K$25,"&lt;&gt;")</x:f>
        <x:v>0</x:v>
      </x:c>
      <x:c r="C64" t="n">
        <x:f>COUNTIFS(Comic_24!$E$2:$E$25,A64,Comic_24!$K$2:$K$25,"yes")</x:f>
        <x:v>0</x:v>
      </x:c>
      <x:c r="D64" s="42" t="str">
        <x:f>IF(B64=0,"",C64/B64)</x:f>
      </x:c>
    </x:row>
    <x:row r="65" ht="16.5" customHeight="1">
      <x:c r="A65" t="s">
        <x:v>27</x:v>
      </x:c>
      <x:c r="B65" t="n">
        <x:f>COUNTIFS(Comic_24!$E$2:$E$25,A65,Comic_24!$K$2:$K$25,"&lt;&gt;")</x:f>
        <x:v>0</x:v>
      </x:c>
      <x:c r="C65" t="n">
        <x:f>COUNTIFS(Comic_24!$E$2:$E$25,A65,Comic_24!$K$2:$K$25,"yes")</x:f>
        <x:v>0</x:v>
      </x:c>
      <x:c r="D65" s="42" t="str">
        <x:f>IF(B65=0,"",C65/B65)</x:f>
      </x:c>
    </x:row>
    <x:row r="66" ht="16.5" customHeight="1">
      <x:c r="A66" t="s">
        <x:v>40</x:v>
      </x:c>
      <x:c r="B66" t="n">
        <x:f>COUNTIFS(Comic_24!$E$2:$E$25,A66,Comic_24!$K$2:$K$25,"&lt;&gt;")</x:f>
        <x:v>0</x:v>
      </x:c>
      <x:c r="C66" t="n">
        <x:f>COUNTIFS(Comic_24!$E$2:$E$25,A66,Comic_24!$K$2:$K$25,"yes")</x:f>
        <x:v>0</x:v>
      </x:c>
      <x:c r="D66" s="42" t="str">
        <x:f>IF(B66=0,"",C66/B66)</x:f>
      </x:c>
    </x:row>
  </x:sheetData>
  <x:mergeCells>
    <x:mergeCell ref="A1:G1"/>
  </x:mergeCells>
  <x:pageMargins left="0.7" right="0.7" top="0.75" bottom="0.75" header="0.3" footer="0.3"/>
</x:worksheet>
</file>