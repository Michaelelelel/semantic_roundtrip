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haelhagmann/uni/Bachelor/semantic_roundtrip/manual_evaluation/"/>
    </mc:Choice>
  </mc:AlternateContent>
  <xr:revisionPtr revIDLastSave="0" documentId="13_ncr:1_{7B9B29C8-E45B-2641-A4B9-7ED6C40BFE7A}" xr6:coauthVersionLast="47" xr6:coauthVersionMax="47" xr10:uidLastSave="{00000000-0000-0000-0000-000000000000}"/>
  <bookViews>
    <workbookView xWindow="0" yWindow="660" windowWidth="30240" windowHeight="17700" activeTab="3" xr2:uid="{00000000-000D-0000-FFFF-FFFF00000000}"/>
  </bookViews>
  <sheets>
    <sheet name="Instructions" sheetId="1" r:id="rId1"/>
    <sheet name="Verifier_168" sheetId="2" r:id="rId2"/>
    <sheet name="Style_24" sheetId="3" r:id="rId3"/>
    <sheet name="Comic_24" sheetId="5" r:id="rId4"/>
    <sheet name="Summary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6" i="4" l="1"/>
  <c r="B66" i="4"/>
  <c r="D66" i="4" s="1"/>
  <c r="C65" i="4"/>
  <c r="B65" i="4"/>
  <c r="D65" i="4" s="1"/>
  <c r="C64" i="4"/>
  <c r="B64" i="4"/>
  <c r="D64" i="4" s="1"/>
  <c r="C61" i="4"/>
  <c r="B61" i="4"/>
  <c r="D61" i="4" s="1"/>
  <c r="C60" i="4"/>
  <c r="B60" i="4"/>
  <c r="D60" i="4" s="1"/>
  <c r="C59" i="4"/>
  <c r="B59" i="4"/>
  <c r="D59" i="4" s="1"/>
  <c r="C58" i="4"/>
  <c r="B58" i="4"/>
  <c r="D58" i="4" s="1"/>
  <c r="C55" i="4"/>
  <c r="B55" i="4"/>
  <c r="E54" i="4"/>
  <c r="D54" i="4"/>
  <c r="B54" i="4"/>
  <c r="C53" i="4"/>
  <c r="B53" i="4"/>
  <c r="C54" i="4" s="1"/>
  <c r="D49" i="4"/>
  <c r="C49" i="4"/>
  <c r="B49" i="4"/>
  <c r="C48" i="4"/>
  <c r="B48" i="4"/>
  <c r="D48" i="4" s="1"/>
  <c r="C47" i="4"/>
  <c r="B47" i="4"/>
  <c r="D47" i="4" s="1"/>
  <c r="C44" i="4"/>
  <c r="B44" i="4"/>
  <c r="D44" i="4" s="1"/>
  <c r="C43" i="4"/>
  <c r="B43" i="4"/>
  <c r="D43" i="4" s="1"/>
  <c r="D42" i="4"/>
  <c r="C42" i="4"/>
  <c r="B42" i="4"/>
  <c r="D41" i="4"/>
  <c r="C41" i="4"/>
  <c r="B41" i="4"/>
  <c r="C38" i="4"/>
  <c r="B38" i="4"/>
  <c r="C37" i="4"/>
  <c r="B37" i="4"/>
  <c r="C36" i="4"/>
  <c r="B36" i="4"/>
  <c r="E37" i="4" s="1"/>
  <c r="B32" i="4"/>
  <c r="D32" i="4" s="1"/>
  <c r="D31" i="4"/>
  <c r="B31" i="4"/>
  <c r="D30" i="4"/>
  <c r="B30" i="4"/>
  <c r="D27" i="4"/>
  <c r="B27" i="4"/>
  <c r="E26" i="4"/>
  <c r="B26" i="4"/>
  <c r="D26" i="4" s="1"/>
  <c r="E25" i="4"/>
  <c r="B25" i="4"/>
  <c r="D25" i="4" s="1"/>
  <c r="G24" i="4"/>
  <c r="E24" i="4"/>
  <c r="B24" i="4"/>
  <c r="D24" i="4" s="1"/>
  <c r="G23" i="4"/>
  <c r="B23" i="4"/>
  <c r="D23" i="4" s="1"/>
  <c r="G22" i="4"/>
  <c r="D22" i="4"/>
  <c r="B22" i="4"/>
  <c r="E21" i="4"/>
  <c r="B21" i="4"/>
  <c r="D21" i="4" s="1"/>
  <c r="C17" i="4"/>
  <c r="C16" i="4"/>
  <c r="C15" i="4"/>
  <c r="C14" i="4"/>
  <c r="E13" i="4"/>
  <c r="D13" i="4"/>
  <c r="C13" i="4"/>
  <c r="C12" i="4"/>
  <c r="B12" i="4"/>
  <c r="D9" i="4"/>
  <c r="B9" i="4"/>
  <c r="B8" i="4"/>
  <c r="D8" i="4" s="1"/>
  <c r="B7" i="4"/>
  <c r="D7" i="4" s="1"/>
  <c r="D6" i="4"/>
  <c r="B6" i="4"/>
  <c r="P169" i="2"/>
  <c r="O169" i="2"/>
  <c r="P168" i="2"/>
  <c r="O168" i="2"/>
  <c r="P167" i="2"/>
  <c r="O167" i="2"/>
  <c r="P166" i="2"/>
  <c r="O166" i="2"/>
  <c r="P165" i="2"/>
  <c r="O165" i="2"/>
  <c r="P164" i="2"/>
  <c r="O164" i="2"/>
  <c r="P163" i="2"/>
  <c r="O163" i="2"/>
  <c r="P162" i="2"/>
  <c r="O162" i="2"/>
  <c r="P161" i="2"/>
  <c r="O161" i="2"/>
  <c r="P160" i="2"/>
  <c r="O160" i="2"/>
  <c r="P159" i="2"/>
  <c r="O159" i="2"/>
  <c r="P158" i="2"/>
  <c r="O158" i="2"/>
  <c r="P157" i="2"/>
  <c r="O157" i="2"/>
  <c r="P156" i="2"/>
  <c r="O156" i="2"/>
  <c r="P155" i="2"/>
  <c r="O155" i="2"/>
  <c r="P154" i="2"/>
  <c r="O154" i="2"/>
  <c r="P153" i="2"/>
  <c r="O153" i="2"/>
  <c r="P152" i="2"/>
  <c r="O152" i="2"/>
  <c r="P151" i="2"/>
  <c r="O151" i="2"/>
  <c r="P150" i="2"/>
  <c r="O150" i="2"/>
  <c r="P149" i="2"/>
  <c r="O149" i="2"/>
  <c r="P148" i="2"/>
  <c r="O148" i="2"/>
  <c r="P147" i="2"/>
  <c r="O147" i="2"/>
  <c r="P146" i="2"/>
  <c r="C27" i="4" s="1"/>
  <c r="O146" i="2"/>
  <c r="P145" i="2"/>
  <c r="O145" i="2"/>
  <c r="P144" i="2"/>
  <c r="O144" i="2"/>
  <c r="P143" i="2"/>
  <c r="O143" i="2"/>
  <c r="P142" i="2"/>
  <c r="O142" i="2"/>
  <c r="P141" i="2"/>
  <c r="O141" i="2"/>
  <c r="P140" i="2"/>
  <c r="O140" i="2"/>
  <c r="P139" i="2"/>
  <c r="O139" i="2"/>
  <c r="P138" i="2"/>
  <c r="O138" i="2"/>
  <c r="P137" i="2"/>
  <c r="O137" i="2"/>
  <c r="P136" i="2"/>
  <c r="O136" i="2"/>
  <c r="P135" i="2"/>
  <c r="O135" i="2"/>
  <c r="P134" i="2"/>
  <c r="O134" i="2"/>
  <c r="P133" i="2"/>
  <c r="O133" i="2"/>
  <c r="P132" i="2"/>
  <c r="O132" i="2"/>
  <c r="P131" i="2"/>
  <c r="O131" i="2"/>
  <c r="P130" i="2"/>
  <c r="O130" i="2"/>
  <c r="P129" i="2"/>
  <c r="O129" i="2"/>
  <c r="P128" i="2"/>
  <c r="O128" i="2"/>
  <c r="P127" i="2"/>
  <c r="O127" i="2"/>
  <c r="P126" i="2"/>
  <c r="O126" i="2"/>
  <c r="P125" i="2"/>
  <c r="O125" i="2"/>
  <c r="P124" i="2"/>
  <c r="O124" i="2"/>
  <c r="P123" i="2"/>
  <c r="O123" i="2"/>
  <c r="P122" i="2"/>
  <c r="G26" i="4" s="1"/>
  <c r="O122" i="2"/>
  <c r="P121" i="2"/>
  <c r="O121" i="2"/>
  <c r="P120" i="2"/>
  <c r="O120" i="2"/>
  <c r="P119" i="2"/>
  <c r="O119" i="2"/>
  <c r="P118" i="2"/>
  <c r="O118" i="2"/>
  <c r="P117" i="2"/>
  <c r="O117" i="2"/>
  <c r="P116" i="2"/>
  <c r="O116" i="2"/>
  <c r="P115" i="2"/>
  <c r="O115" i="2"/>
  <c r="P114" i="2"/>
  <c r="O114" i="2"/>
  <c r="P113" i="2"/>
  <c r="O113" i="2"/>
  <c r="P112" i="2"/>
  <c r="O112" i="2"/>
  <c r="P111" i="2"/>
  <c r="O111" i="2"/>
  <c r="P110" i="2"/>
  <c r="O110" i="2"/>
  <c r="P109" i="2"/>
  <c r="O109" i="2"/>
  <c r="P108" i="2"/>
  <c r="O108" i="2"/>
  <c r="P107" i="2"/>
  <c r="O107" i="2"/>
  <c r="P106" i="2"/>
  <c r="O106" i="2"/>
  <c r="P105" i="2"/>
  <c r="O105" i="2"/>
  <c r="P104" i="2"/>
  <c r="O104" i="2"/>
  <c r="P103" i="2"/>
  <c r="O103" i="2"/>
  <c r="P102" i="2"/>
  <c r="O102" i="2"/>
  <c r="P101" i="2"/>
  <c r="O101" i="2"/>
  <c r="P100" i="2"/>
  <c r="F25" i="4" s="1"/>
  <c r="O100" i="2"/>
  <c r="P99" i="2"/>
  <c r="O99" i="2"/>
  <c r="P98" i="2"/>
  <c r="C25" i="4" s="1"/>
  <c r="O98" i="2"/>
  <c r="P97" i="2"/>
  <c r="O97" i="2"/>
  <c r="P96" i="2"/>
  <c r="O96" i="2"/>
  <c r="P95" i="2"/>
  <c r="O95" i="2"/>
  <c r="P94" i="2"/>
  <c r="O94" i="2"/>
  <c r="P93" i="2"/>
  <c r="O93" i="2"/>
  <c r="P92" i="2"/>
  <c r="O92" i="2"/>
  <c r="P91" i="2"/>
  <c r="O91" i="2"/>
  <c r="P90" i="2"/>
  <c r="O90" i="2"/>
  <c r="P89" i="2"/>
  <c r="O89" i="2"/>
  <c r="P88" i="2"/>
  <c r="O88" i="2"/>
  <c r="P87" i="2"/>
  <c r="O87" i="2"/>
  <c r="P86" i="2"/>
  <c r="O86" i="2"/>
  <c r="P85" i="2"/>
  <c r="O85" i="2"/>
  <c r="P84" i="2"/>
  <c r="O84" i="2"/>
  <c r="P83" i="2"/>
  <c r="O83" i="2"/>
  <c r="P82" i="2"/>
  <c r="O82" i="2"/>
  <c r="P81" i="2"/>
  <c r="O81" i="2"/>
  <c r="P80" i="2"/>
  <c r="O80" i="2"/>
  <c r="P79" i="2"/>
  <c r="O79" i="2"/>
  <c r="P78" i="2"/>
  <c r="O78" i="2"/>
  <c r="P77" i="2"/>
  <c r="O77" i="2"/>
  <c r="P76" i="2"/>
  <c r="O76" i="2"/>
  <c r="P75" i="2"/>
  <c r="O75" i="2"/>
  <c r="P74" i="2"/>
  <c r="F24" i="4" s="1"/>
  <c r="O74" i="2"/>
  <c r="P73" i="2"/>
  <c r="O73" i="2"/>
  <c r="P72" i="2"/>
  <c r="O72" i="2"/>
  <c r="P71" i="2"/>
  <c r="O71" i="2"/>
  <c r="P70" i="2"/>
  <c r="O70" i="2"/>
  <c r="P69" i="2"/>
  <c r="O69" i="2"/>
  <c r="P68" i="2"/>
  <c r="O68" i="2"/>
  <c r="P67" i="2"/>
  <c r="O67" i="2"/>
  <c r="P66" i="2"/>
  <c r="O66" i="2"/>
  <c r="P65" i="2"/>
  <c r="O65" i="2"/>
  <c r="P64" i="2"/>
  <c r="O64" i="2"/>
  <c r="P63" i="2"/>
  <c r="O63" i="2"/>
  <c r="P62" i="2"/>
  <c r="O62" i="2"/>
  <c r="P61" i="2"/>
  <c r="O61" i="2"/>
  <c r="P60" i="2"/>
  <c r="O60" i="2"/>
  <c r="P59" i="2"/>
  <c r="O59" i="2"/>
  <c r="P58" i="2"/>
  <c r="O58" i="2"/>
  <c r="P57" i="2"/>
  <c r="O57" i="2"/>
  <c r="P56" i="2"/>
  <c r="O56" i="2"/>
  <c r="P55" i="2"/>
  <c r="O55" i="2"/>
  <c r="P54" i="2"/>
  <c r="O54" i="2"/>
  <c r="P53" i="2"/>
  <c r="O53" i="2"/>
  <c r="P52" i="2"/>
  <c r="O52" i="2"/>
  <c r="P51" i="2"/>
  <c r="O51" i="2"/>
  <c r="P50" i="2"/>
  <c r="F23" i="4" s="1"/>
  <c r="O50" i="2"/>
  <c r="P49" i="2"/>
  <c r="O49" i="2"/>
  <c r="P48" i="2"/>
  <c r="O48" i="2"/>
  <c r="P47" i="2"/>
  <c r="O47" i="2"/>
  <c r="P46" i="2"/>
  <c r="O46" i="2"/>
  <c r="P45" i="2"/>
  <c r="O45" i="2"/>
  <c r="P44" i="2"/>
  <c r="O44" i="2"/>
  <c r="P43" i="2"/>
  <c r="O43" i="2"/>
  <c r="P42" i="2"/>
  <c r="O42" i="2"/>
  <c r="P41" i="2"/>
  <c r="O41" i="2"/>
  <c r="P40" i="2"/>
  <c r="O40" i="2"/>
  <c r="P39" i="2"/>
  <c r="O39" i="2"/>
  <c r="P38" i="2"/>
  <c r="O38" i="2"/>
  <c r="P37" i="2"/>
  <c r="O37" i="2"/>
  <c r="P36" i="2"/>
  <c r="O36" i="2"/>
  <c r="P35" i="2"/>
  <c r="O35" i="2"/>
  <c r="P34" i="2"/>
  <c r="O34" i="2"/>
  <c r="P33" i="2"/>
  <c r="O33" i="2"/>
  <c r="P32" i="2"/>
  <c r="O32" i="2"/>
  <c r="P31" i="2"/>
  <c r="O31" i="2"/>
  <c r="P30" i="2"/>
  <c r="C22" i="4" s="1"/>
  <c r="O30" i="2"/>
  <c r="P29" i="2"/>
  <c r="O29" i="2"/>
  <c r="P28" i="2"/>
  <c r="O28" i="2"/>
  <c r="P27" i="2"/>
  <c r="O27" i="2"/>
  <c r="P26" i="2"/>
  <c r="F22" i="4" s="1"/>
  <c r="O26" i="2"/>
  <c r="P25" i="2"/>
  <c r="O25" i="2"/>
  <c r="P24" i="2"/>
  <c r="O24" i="2"/>
  <c r="P23" i="2"/>
  <c r="O23" i="2"/>
  <c r="P22" i="2"/>
  <c r="O22" i="2"/>
  <c r="P21" i="2"/>
  <c r="O21" i="2"/>
  <c r="P20" i="2"/>
  <c r="O20" i="2"/>
  <c r="P19" i="2"/>
  <c r="O19" i="2"/>
  <c r="P18" i="2"/>
  <c r="E32" i="4" s="1"/>
  <c r="O18" i="2"/>
  <c r="P17" i="2"/>
  <c r="O17" i="2"/>
  <c r="P16" i="2"/>
  <c r="O16" i="2"/>
  <c r="P15" i="2"/>
  <c r="O15" i="2"/>
  <c r="P14" i="2"/>
  <c r="O14" i="2"/>
  <c r="P13" i="2"/>
  <c r="O13" i="2"/>
  <c r="P12" i="2"/>
  <c r="O12" i="2"/>
  <c r="P11" i="2"/>
  <c r="O11" i="2"/>
  <c r="P10" i="2"/>
  <c r="G31" i="4" s="1"/>
  <c r="O10" i="2"/>
  <c r="P9" i="2"/>
  <c r="O9" i="2"/>
  <c r="P8" i="2"/>
  <c r="O8" i="2"/>
  <c r="P7" i="2"/>
  <c r="O7" i="2"/>
  <c r="P6" i="2"/>
  <c r="O6" i="2"/>
  <c r="P5" i="2"/>
  <c r="B14" i="4" s="1"/>
  <c r="O5" i="2"/>
  <c r="P4" i="2"/>
  <c r="O4" i="2"/>
  <c r="P3" i="2"/>
  <c r="O3" i="2"/>
  <c r="P2" i="2"/>
  <c r="G30" i="4" s="1"/>
  <c r="O2" i="2"/>
  <c r="F32" i="4" l="1"/>
  <c r="E22" i="4"/>
  <c r="C24" i="4"/>
  <c r="G25" i="4"/>
  <c r="E27" i="4"/>
  <c r="C31" i="4"/>
  <c r="G32" i="4"/>
  <c r="F27" i="4"/>
  <c r="C26" i="4"/>
  <c r="G27" i="4"/>
  <c r="E31" i="4"/>
  <c r="B15" i="4"/>
  <c r="F31" i="4"/>
  <c r="C30" i="4"/>
  <c r="B16" i="4"/>
  <c r="B17" i="4" s="1"/>
  <c r="C18" i="4" s="1"/>
  <c r="F21" i="4"/>
  <c r="F26" i="4"/>
  <c r="D37" i="4"/>
  <c r="C21" i="4"/>
  <c r="C23" i="4"/>
  <c r="G21" i="4"/>
  <c r="E23" i="4"/>
  <c r="E30" i="4"/>
  <c r="C32" i="4"/>
  <c r="B13" i="4"/>
  <c r="B18" i="4" s="1"/>
  <c r="F30" i="4"/>
</calcChain>
</file>

<file path=xl/sharedStrings.xml><?xml version="1.0" encoding="utf-8"?>
<sst xmlns="http://schemas.openxmlformats.org/spreadsheetml/2006/main" count="1703" uniqueCount="348">
  <si>
    <t>Manual evaluation: verifier census and style checks</t>
  </si>
  <si>
    <t>Phase 1 — manual labels (do not inspect verifier decisions)</t>
  </si>
  <si>
    <t>1</t>
  </si>
  <si>
    <t>Verifier_168</t>
  </si>
  <si>
    <t>Open the image identified by job, entry, title, and seeds.</t>
  </si>
  <si>
    <t>Enter manual_accept and text_category before verifier_accept.</t>
  </si>
  <si>
    <t>2</t>
  </si>
  <si>
    <t>Verifier rule</t>
  </si>
  <si>
    <t>Fail only unambiguously readable, meaningful writing; pass pseudo/ambiguous or illegible marks.</t>
  </si>
  <si>
    <t>Use the exact rule in prompts/verification/json_v3.txt.</t>
  </si>
  <si>
    <t>3</t>
  </si>
  <si>
    <t>Text categories</t>
  </si>
  <si>
    <t>none / ambiguous_or_pseudo / clear_meaningful</t>
  </si>
  <si>
    <t>Use notes only for genuinely unclear cases.</t>
  </si>
  <si>
    <t>4</t>
  </si>
  <si>
    <t>Style_24 (sketch)</t>
  </si>
  <si>
    <t>Judge sparse black-on-white freehand outline-sketch adherence separately.</t>
  </si>
  <si>
    <t>Style adherence is not title correctness.</t>
  </si>
  <si>
    <t>5</t>
  </si>
  <si>
    <t>Comic_24</t>
  </si>
  <si>
    <t>Judge broad comic/cartoon adherence and check for readable text or speech bubbles.</t>
  </si>
  <si>
    <t>Use the same independent text rule as for sketch.</t>
  </si>
  <si>
    <t>6</t>
  </si>
  <si>
    <t>Save</t>
  </si>
  <si>
    <t>Complete all Phase-1 labels before revealing Qwen3.8 decisions.</t>
  </si>
  <si>
    <t>Keep the completed copy with the run archive.</t>
  </si>
  <si>
    <t>Phase 2 — enter persisted verifier decisions</t>
  </si>
  <si>
    <t>7</t>
  </si>
  <si>
    <t>verifier_accept</t>
  </si>
  <si>
    <t>Enter yes, no, or invalid from the persisted result.</t>
  </si>
  <si>
    <t>Invalid includes missing, malformed, or truncated decisions.</t>
  </si>
  <si>
    <t>8</t>
  </si>
  <si>
    <t>Derived fields</t>
  </si>
  <si>
    <t>agreement and error_class are formulas.</t>
  </si>
  <si>
    <t>Invalid is counted wrong and reported separately.</t>
  </si>
  <si>
    <t>9</t>
  </si>
  <si>
    <t>Summary</t>
  </si>
  <si>
    <t>Review overall, PG-model, and domain breakdowns.</t>
  </si>
  <si>
    <t>Do not tune the verifier using downstream Exact Match.</t>
  </si>
  <si>
    <t>10</t>
  </si>
  <si>
    <t>Archive</t>
  </si>
  <si>
    <t>Archive workbook, evaluated development jobs, notebook HTML/PNGs, and revision.</t>
  </si>
  <si>
    <t>Do not overwrite this blank Git template with final labels.</t>
  </si>
  <si>
    <t>Wilson z (95%)</t>
  </si>
  <si>
    <t>Verifier rows</t>
  </si>
  <si>
    <t>sample_id</t>
  </si>
  <si>
    <t>source_job</t>
  </si>
  <si>
    <t>entry_name</t>
  </si>
  <si>
    <t>pg_model</t>
  </si>
  <si>
    <t>domain</t>
  </si>
  <si>
    <t>title</t>
  </si>
  <si>
    <t>item_key</t>
  </si>
  <si>
    <t>prompt_seed</t>
  </si>
  <si>
    <t>image_seed</t>
  </si>
  <si>
    <t>image_reference</t>
  </si>
  <si>
    <t>manual_accept</t>
  </si>
  <si>
    <t>text_category</t>
  </si>
  <si>
    <t>notes</t>
  </si>
  <si>
    <t>agreement</t>
  </si>
  <si>
    <t>error_class</t>
  </si>
  <si>
    <t>V001</t>
  </si>
  <si>
    <t>DIRECT_JOB</t>
  </si>
  <si>
    <t>direct_pg_q25_bi_q25</t>
  </si>
  <si>
    <t>q25</t>
  </si>
  <si>
    <t>songs</t>
  </si>
  <si>
    <t>Imagine</t>
  </si>
  <si>
    <t>songs_imagine</t>
  </si>
  <si>
    <t>V002</t>
  </si>
  <si>
    <t>V003</t>
  </si>
  <si>
    <t>V004</t>
  </si>
  <si>
    <t>V005</t>
  </si>
  <si>
    <t>Yellow Submarine</t>
  </si>
  <si>
    <t>songs_yellow_submarine</t>
  </si>
  <si>
    <t>V006</t>
  </si>
  <si>
    <t>V007</t>
  </si>
  <si>
    <t>V008</t>
  </si>
  <si>
    <t>V009</t>
  </si>
  <si>
    <t>movies</t>
  </si>
  <si>
    <t>The Matrix</t>
  </si>
  <si>
    <t>movies_the_matrix</t>
  </si>
  <si>
    <t>V010</t>
  </si>
  <si>
    <t>V011</t>
  </si>
  <si>
    <t>V012</t>
  </si>
  <si>
    <t>V013</t>
  </si>
  <si>
    <t>Iron Man</t>
  </si>
  <si>
    <t>movies_iron_man</t>
  </si>
  <si>
    <t>V014</t>
  </si>
  <si>
    <t>V015</t>
  </si>
  <si>
    <t>V016</t>
  </si>
  <si>
    <t>V017</t>
  </si>
  <si>
    <t>bands</t>
  </si>
  <si>
    <t>Queen</t>
  </si>
  <si>
    <t>bands_queen</t>
  </si>
  <si>
    <t>V018</t>
  </si>
  <si>
    <t>V019</t>
  </si>
  <si>
    <t>V020</t>
  </si>
  <si>
    <t>V021</t>
  </si>
  <si>
    <t>Nirvana</t>
  </si>
  <si>
    <t>bands_nirvana</t>
  </si>
  <si>
    <t>V022</t>
  </si>
  <si>
    <t>V023</t>
  </si>
  <si>
    <t>V024</t>
  </si>
  <si>
    <t>V025</t>
  </si>
  <si>
    <t>direct_pg_q38_bi_q38</t>
  </si>
  <si>
    <t>q38</t>
  </si>
  <si>
    <t>V026</t>
  </si>
  <si>
    <t>V027</t>
  </si>
  <si>
    <t>V028</t>
  </si>
  <si>
    <t>V029</t>
  </si>
  <si>
    <t>V030</t>
  </si>
  <si>
    <t>V031</t>
  </si>
  <si>
    <t>V032</t>
  </si>
  <si>
    <t>V033</t>
  </si>
  <si>
    <t>V034</t>
  </si>
  <si>
    <t>V035</t>
  </si>
  <si>
    <t>V036</t>
  </si>
  <si>
    <t>V037</t>
  </si>
  <si>
    <t>V038</t>
  </si>
  <si>
    <t>V039</t>
  </si>
  <si>
    <t>V040</t>
  </si>
  <si>
    <t>V041</t>
  </si>
  <si>
    <t>V042</t>
  </si>
  <si>
    <t>V043</t>
  </si>
  <si>
    <t>V044</t>
  </si>
  <si>
    <t>V045</t>
  </si>
  <si>
    <t>V046</t>
  </si>
  <si>
    <t>V047</t>
  </si>
  <si>
    <t>V048</t>
  </si>
  <si>
    <t>V049</t>
  </si>
  <si>
    <t>direct_pg_g3_bi_g3</t>
  </si>
  <si>
    <t>g3</t>
  </si>
  <si>
    <t>V050</t>
  </si>
  <si>
    <t>V051</t>
  </si>
  <si>
    <t>V052</t>
  </si>
  <si>
    <t>V053</t>
  </si>
  <si>
    <t>V054</t>
  </si>
  <si>
    <t>V055</t>
  </si>
  <si>
    <t>V056</t>
  </si>
  <si>
    <t>V057</t>
  </si>
  <si>
    <t>V058</t>
  </si>
  <si>
    <t>V059</t>
  </si>
  <si>
    <t>V060</t>
  </si>
  <si>
    <t>V061</t>
  </si>
  <si>
    <t>V062</t>
  </si>
  <si>
    <t>V063</t>
  </si>
  <si>
    <t>V064</t>
  </si>
  <si>
    <t>V065</t>
  </si>
  <si>
    <t>V066</t>
  </si>
  <si>
    <t>V067</t>
  </si>
  <si>
    <t>V068</t>
  </si>
  <si>
    <t>V069</t>
  </si>
  <si>
    <t>V070</t>
  </si>
  <si>
    <t>V071</t>
  </si>
  <si>
    <t>V072</t>
  </si>
  <si>
    <t>V073</t>
  </si>
  <si>
    <t>direct_pg_g4_bi_g4</t>
  </si>
  <si>
    <t>g4</t>
  </si>
  <si>
    <t>V074</t>
  </si>
  <si>
    <t>V075</t>
  </si>
  <si>
    <t>V076</t>
  </si>
  <si>
    <t>V077</t>
  </si>
  <si>
    <t>V078</t>
  </si>
  <si>
    <t>V079</t>
  </si>
  <si>
    <t>V080</t>
  </si>
  <si>
    <t>V081</t>
  </si>
  <si>
    <t>V082</t>
  </si>
  <si>
    <t>V083</t>
  </si>
  <si>
    <t>V084</t>
  </si>
  <si>
    <t>V085</t>
  </si>
  <si>
    <t>V086</t>
  </si>
  <si>
    <t>V087</t>
  </si>
  <si>
    <t>V088</t>
  </si>
  <si>
    <t>V089</t>
  </si>
  <si>
    <t>V090</t>
  </si>
  <si>
    <t>V091</t>
  </si>
  <si>
    <t>V092</t>
  </si>
  <si>
    <t>V093</t>
  </si>
  <si>
    <t>V094</t>
  </si>
  <si>
    <t>V095</t>
  </si>
  <si>
    <t>V096</t>
  </si>
  <si>
    <t>V097</t>
  </si>
  <si>
    <t>INDIRECT_JOB</t>
  </si>
  <si>
    <t>indirect_pg_d32_bb_q25_bi_d32</t>
  </si>
  <si>
    <t>d32</t>
  </si>
  <si>
    <t>V098</t>
  </si>
  <si>
    <t>V099</t>
  </si>
  <si>
    <t>V100</t>
  </si>
  <si>
    <t>V101</t>
  </si>
  <si>
    <t>V102</t>
  </si>
  <si>
    <t>V103</t>
  </si>
  <si>
    <t>V104</t>
  </si>
  <si>
    <t>V105</t>
  </si>
  <si>
    <t>V106</t>
  </si>
  <si>
    <t>V107</t>
  </si>
  <si>
    <t>V108</t>
  </si>
  <si>
    <t>V109</t>
  </si>
  <si>
    <t>V110</t>
  </si>
  <si>
    <t>V111</t>
  </si>
  <si>
    <t>V112</t>
  </si>
  <si>
    <t>V113</t>
  </si>
  <si>
    <t>V114</t>
  </si>
  <si>
    <t>V115</t>
  </si>
  <si>
    <t>V116</t>
  </si>
  <si>
    <t>V117</t>
  </si>
  <si>
    <t>V118</t>
  </si>
  <si>
    <t>V119</t>
  </si>
  <si>
    <t>V120</t>
  </si>
  <si>
    <t>V121</t>
  </si>
  <si>
    <t>indirect_pg_o120_bb_q25_bi_d32</t>
  </si>
  <si>
    <t>o120</t>
  </si>
  <si>
    <t>V122</t>
  </si>
  <si>
    <t>V123</t>
  </si>
  <si>
    <t>V124</t>
  </si>
  <si>
    <t>V125</t>
  </si>
  <si>
    <t>V126</t>
  </si>
  <si>
    <t>V127</t>
  </si>
  <si>
    <t>V128</t>
  </si>
  <si>
    <t>V129</t>
  </si>
  <si>
    <t>V130</t>
  </si>
  <si>
    <t>V131</t>
  </si>
  <si>
    <t>V132</t>
  </si>
  <si>
    <t>V133</t>
  </si>
  <si>
    <t>V134</t>
  </si>
  <si>
    <t>V135</t>
  </si>
  <si>
    <t>V136</t>
  </si>
  <si>
    <t>V137</t>
  </si>
  <si>
    <t>V138</t>
  </si>
  <si>
    <t>V139</t>
  </si>
  <si>
    <t>V140</t>
  </si>
  <si>
    <t>V141</t>
  </si>
  <si>
    <t>V142</t>
  </si>
  <si>
    <t>V143</t>
  </si>
  <si>
    <t>V144</t>
  </si>
  <si>
    <t>V145</t>
  </si>
  <si>
    <t>AQUEDUCT_JOB</t>
  </si>
  <si>
    <t>indirect_pg_v4_bb_q25_bi_d32</t>
  </si>
  <si>
    <t>v4</t>
  </si>
  <si>
    <t>V146</t>
  </si>
  <si>
    <t>V147</t>
  </si>
  <si>
    <t>V148</t>
  </si>
  <si>
    <t>V149</t>
  </si>
  <si>
    <t>V150</t>
  </si>
  <si>
    <t>V151</t>
  </si>
  <si>
    <t>V152</t>
  </si>
  <si>
    <t>V153</t>
  </si>
  <si>
    <t>V154</t>
  </si>
  <si>
    <t>V155</t>
  </si>
  <si>
    <t>V156</t>
  </si>
  <si>
    <t>V157</t>
  </si>
  <si>
    <t>V158</t>
  </si>
  <si>
    <t>V159</t>
  </si>
  <si>
    <t>V160</t>
  </si>
  <si>
    <t>V161</t>
  </si>
  <si>
    <t>V162</t>
  </si>
  <si>
    <t>V163</t>
  </si>
  <si>
    <t>V164</t>
  </si>
  <si>
    <t>V165</t>
  </si>
  <si>
    <t>V166</t>
  </si>
  <si>
    <t>V167</t>
  </si>
  <si>
    <t>V168</t>
  </si>
  <si>
    <t>style_adherent</t>
  </si>
  <si>
    <t>S001</t>
  </si>
  <si>
    <t>SKETCH_JOB</t>
  </si>
  <si>
    <t>S002</t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</si>
  <si>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</si>
  <si>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</si>
  <si>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</si>
  <si>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</si>
  <si>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</si>
  <si>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</si>
  <si>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</si>
  <si>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</si>
  <si>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</si>
  <si>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</si>
  <si>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</si>
  <si>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</si>
  <si>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</si>
  <si>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</si>
  <si>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</si>
  <si>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</si>
  <si>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</si>
  <si>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</si>
  <si>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</si>
  <si>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</si>
  <si>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</si>
  <si>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</si>
  <si>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Manual evaluation summary</t>
  </si>
  <si>
    <t>Completion</t>
  </si>
  <si>
    <t>Completed</t>
  </si>
  <si>
    <t>Total</t>
  </si>
  <si>
    <t>Rate</t>
  </si>
  <si>
    <t>Verifier manual labels</t>
  </si>
  <si>
    <t>Verifier decisions</t>
  </si>
  <si>
    <t>Sketch adherence labels</t>
  </si>
  <si>
    <t>Sketch manual text labels</t>
  </si>
  <si>
    <t>Verifier overall</t>
  </si>
  <si>
    <t>Count</t>
  </si>
  <si>
    <t>Wilson low</t>
  </si>
  <si>
    <t>Wilson high</t>
  </si>
  <si>
    <t>Completed pairs</t>
  </si>
  <si>
    <t>Agreement</t>
  </si>
  <si>
    <t>False accept</t>
  </si>
  <si>
    <t>False reject</t>
  </si>
  <si>
    <t>Invalid</t>
  </si>
  <si>
    <t>Valid decisions</t>
  </si>
  <si>
    <t>Valid-decision agreement</t>
  </si>
  <si>
    <t>Verifier by PG</t>
  </si>
  <si>
    <t>n</t>
  </si>
  <si>
    <t>rate</t>
  </si>
  <si>
    <t>false_accept</t>
  </si>
  <si>
    <t>false_reject</t>
  </si>
  <si>
    <t>invalid</t>
  </si>
  <si>
    <t>Verifier by domain</t>
  </si>
  <si>
    <t>Sketch style</t>
  </si>
  <si>
    <t>Labels completed</t>
  </si>
  <si>
    <t>Style adherent</t>
  </si>
  <si>
    <t>Manual text accept</t>
  </si>
  <si>
    <t>Style by PG</t>
  </si>
  <si>
    <t>adherent</t>
  </si>
  <si>
    <t>Style by domain</t>
  </si>
  <si>
    <t>Comic style</t>
  </si>
  <si>
    <t>Comic by PG</t>
  </si>
  <si>
    <t>Comic by domain</t>
  </si>
  <si>
    <t>C001</t>
  </si>
  <si>
    <t>COMIC_JOB</t>
  </si>
  <si>
    <t>C002</t>
  </si>
  <si>
    <t>C003</t>
  </si>
  <si>
    <t>C004</t>
  </si>
  <si>
    <t>C005</t>
  </si>
  <si>
    <t>C006</t>
  </si>
  <si>
    <t>C007</t>
  </si>
  <si>
    <t>C008</t>
  </si>
  <si>
    <t>C009</t>
  </si>
  <si>
    <t>C010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</si>
  <si>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</si>
  <si>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</si>
  <si>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</si>
  <si>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</si>
  <si>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</si>
  <si>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</si>
  <si>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</si>
  <si>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</si>
  <si>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</si>
  <si>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</si>
  <si>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C021</t>
  </si>
  <si>
    <t>C022</t>
  </si>
  <si>
    <t>C023</t>
  </si>
  <si>
    <t>C024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</si>
</sst>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187A7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7E6E6"/>
      </patternFill>
    </fill>
    <fill>
      <patternFill patternType="solid">
        <fgColor rgb="FF187A7A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E2E8"/>
      </bottom>
      <diagonal/>
    </border>
    <border>
      <left/>
      <right/>
      <top style="thin">
        <color rgb="FFD9E2E8"/>
      </top>
      <bottom style="thin">
        <color rgb="FFD9E2E8"/>
      </bottom>
      <diagonal/>
    </border>
    <border>
      <left/>
      <right/>
      <top style="thin">
        <color rgb="FFD9E2E8"/>
      </top>
      <bottom style="thin">
        <color rgb="FFAAB7C2"/>
      </bottom>
      <diagonal/>
    </border>
    <border>
      <left style="thin">
        <color rgb="FFAAB7C2"/>
      </left>
      <right/>
      <top style="thin">
        <color rgb="FFAAB7C2"/>
      </top>
      <bottom/>
      <diagonal/>
    </border>
    <border>
      <left/>
      <right style="thin">
        <color rgb="FFAAB7C2"/>
      </right>
      <top style="thin">
        <color rgb="FFAAB7C2"/>
      </top>
      <bottom/>
      <diagonal/>
    </border>
    <border>
      <left style="thin">
        <color rgb="FFAAB7C2"/>
      </left>
      <right/>
      <top/>
      <bottom style="thin">
        <color rgb="FFAAB7C2"/>
      </bottom>
      <diagonal/>
    </border>
    <border>
      <left/>
      <right style="thin">
        <color rgb="FFAAB7C2"/>
      </right>
      <top/>
      <bottom style="thin">
        <color rgb="FFAAB7C2"/>
      </bottom>
      <diagonal/>
    </border>
    <border>
      <left/>
      <right style="thin">
        <color rgb="FFB7C9D6"/>
      </right>
      <top/>
      <bottom/>
      <diagonal/>
    </border>
    <border>
      <left style="thin">
        <color rgb="FFB7C9D6"/>
      </left>
      <right style="thin">
        <color rgb="FFB7C9D6"/>
      </right>
      <top/>
      <bottom/>
      <diagonal/>
    </border>
    <border>
      <left style="thin">
        <color rgb="FFB7C9D6"/>
      </left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3" borderId="8" xfId="0" applyFont="1" applyFill="1" applyBorder="1" applyAlignment="1">
      <alignment vertical="center" wrapText="1"/>
    </xf>
    <xf numFmtId="0" fontId="2" fillId="3" borderId="9" xfId="0" applyFont="1" applyFill="1" applyBorder="1" applyAlignment="1">
      <alignment vertical="center" wrapText="1"/>
    </xf>
    <xf numFmtId="0" fontId="2" fillId="3" borderId="10" xfId="0" applyFont="1" applyFill="1" applyBorder="1" applyAlignment="1">
      <alignment vertical="center" wrapText="1"/>
    </xf>
    <xf numFmtId="0" fontId="0" fillId="0" borderId="1" xfId="0" applyBorder="1"/>
    <xf numFmtId="0" fontId="0" fillId="4" borderId="1" xfId="0" applyFill="1" applyBorder="1"/>
    <xf numFmtId="0" fontId="0" fillId="0" borderId="2" xfId="0" applyBorder="1"/>
    <xf numFmtId="0" fontId="0" fillId="4" borderId="2" xfId="0" applyFill="1" applyBorder="1"/>
    <xf numFmtId="0" fontId="0" fillId="0" borderId="3" xfId="0" applyBorder="1"/>
    <xf numFmtId="0" fontId="0" fillId="4" borderId="3" xfId="0" applyFill="1" applyBorder="1"/>
    <xf numFmtId="0" fontId="0" fillId="0" borderId="1" xfId="0" applyBorder="1" applyAlignment="1">
      <alignment vertical="center"/>
    </xf>
    <xf numFmtId="0" fontId="0" fillId="4" borderId="1" xfId="0" applyFill="1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0" borderId="2" xfId="0" applyBorder="1" applyAlignment="1">
      <alignment vertical="center"/>
    </xf>
    <xf numFmtId="0" fontId="0" fillId="4" borderId="2" xfId="0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6" borderId="2" xfId="0" applyFill="1" applyBorder="1" applyAlignment="1">
      <alignment vertical="center"/>
    </xf>
    <xf numFmtId="0" fontId="0" fillId="0" borderId="3" xfId="0" applyBorder="1" applyAlignment="1">
      <alignment vertical="center"/>
    </xf>
    <xf numFmtId="0" fontId="0" fillId="4" borderId="3" xfId="0" applyFill="1" applyBorder="1" applyAlignment="1">
      <alignment vertical="center"/>
    </xf>
    <xf numFmtId="0" fontId="0" fillId="5" borderId="3" xfId="0" applyFill="1" applyBorder="1" applyAlignment="1">
      <alignment vertical="center"/>
    </xf>
    <xf numFmtId="0" fontId="0" fillId="6" borderId="3" xfId="0" applyFill="1" applyBorder="1" applyAlignment="1">
      <alignment vertical="center"/>
    </xf>
    <xf numFmtId="1" fontId="0" fillId="0" borderId="1" xfId="0" applyNumberFormat="1" applyBorder="1" applyAlignment="1">
      <alignment vertical="center"/>
    </xf>
    <xf numFmtId="1" fontId="0" fillId="0" borderId="2" xfId="0" applyNumberFormat="1" applyBorder="1" applyAlignment="1">
      <alignment vertical="center"/>
    </xf>
    <xf numFmtId="1" fontId="0" fillId="0" borderId="3" xfId="0" applyNumberFormat="1" applyBorder="1" applyAlignment="1">
      <alignment vertical="center"/>
    </xf>
    <xf numFmtId="1" fontId="0" fillId="6" borderId="1" xfId="0" applyNumberFormat="1" applyFill="1" applyBorder="1" applyAlignment="1">
      <alignment vertical="center"/>
    </xf>
    <xf numFmtId="1" fontId="0" fillId="6" borderId="2" xfId="0" applyNumberFormat="1" applyFill="1" applyBorder="1" applyAlignment="1">
      <alignment vertical="center"/>
    </xf>
    <xf numFmtId="1" fontId="0" fillId="6" borderId="3" xfId="0" applyNumberFormat="1" applyFill="1" applyBorder="1" applyAlignment="1">
      <alignment vertical="center"/>
    </xf>
    <xf numFmtId="1" fontId="0" fillId="0" borderId="1" xfId="0" applyNumberFormat="1" applyBorder="1"/>
    <xf numFmtId="1" fontId="0" fillId="0" borderId="2" xfId="0" applyNumberFormat="1" applyBorder="1"/>
    <xf numFmtId="1" fontId="0" fillId="0" borderId="3" xfId="0" applyNumberFormat="1" applyBorder="1"/>
    <xf numFmtId="164" fontId="0" fillId="0" borderId="0" xfId="0" applyNumberFormat="1"/>
    <xf numFmtId="165" fontId="0" fillId="0" borderId="0" xfId="0" applyNumberFormat="1"/>
    <xf numFmtId="165" fontId="0" fillId="0" borderId="1" xfId="0" applyNumberFormat="1" applyBorder="1"/>
    <xf numFmtId="165" fontId="0" fillId="0" borderId="2" xfId="0" applyNumberFormat="1" applyBorder="1"/>
    <xf numFmtId="165" fontId="0" fillId="0" borderId="3" xfId="0" applyNumberFormat="1" applyBorder="1"/>
    <xf numFmtId="0" fontId="2" fillId="7" borderId="0" xfId="0" applyFont="1" applyFill="1" applyAlignment="1">
      <alignment wrapText="1"/>
    </xf>
    <xf numFmtId="0" fontId="1" fillId="2" borderId="0" xfId="0" applyFont="1" applyFill="1" applyAlignment="1">
      <alignment vertical="center"/>
    </xf>
    <xf numFmtId="0" fontId="2" fillId="3" borderId="0" xfId="0" applyFont="1" applyFill="1"/>
    <xf numFmtId="0" fontId="2" fillId="3" borderId="2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wrapText="1"/>
    </xf>
  </cellXfs>
  <cellStyles count="1">
    <cellStyle name="Normal" xfId="0" builtinId="0"/>
  </cellStyles>
  <dxfs count="3"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erifierTable" displayName="VerifierTable" ref="A1:P169" totalsRowShown="0">
  <tableColumns count="16">
    <tableColumn id="1" xr3:uid="{00000000-0010-0000-0000-000001000000}" name="sample_id"/>
    <tableColumn id="2" xr3:uid="{00000000-0010-0000-0000-000002000000}" name="source_job"/>
    <tableColumn id="3" xr3:uid="{00000000-0010-0000-0000-000003000000}" name="entry_name"/>
    <tableColumn id="4" xr3:uid="{00000000-0010-0000-0000-000004000000}" name="pg_model"/>
    <tableColumn id="5" xr3:uid="{00000000-0010-0000-0000-000005000000}" name="domain"/>
    <tableColumn id="6" xr3:uid="{00000000-0010-0000-0000-000006000000}" name="title"/>
    <tableColumn id="7" xr3:uid="{00000000-0010-0000-0000-000007000000}" name="item_key"/>
    <tableColumn id="8" xr3:uid="{00000000-0010-0000-0000-000008000000}" name="prompt_seed"/>
    <tableColumn id="9" xr3:uid="{00000000-0010-0000-0000-000009000000}" name="image_seed"/>
    <tableColumn id="10" xr3:uid="{00000000-0010-0000-0000-00000A000000}" name="image_reference"/>
    <tableColumn id="11" xr3:uid="{00000000-0010-0000-0000-00000B000000}" name="manual_accept"/>
    <tableColumn id="12" xr3:uid="{00000000-0010-0000-0000-00000C000000}" name="text_category"/>
    <tableColumn id="13" xr3:uid="{00000000-0010-0000-0000-00000D000000}" name="notes"/>
    <tableColumn id="14" xr3:uid="{00000000-0010-0000-0000-00000E000000}" name="verifier_accept"/>
    <tableColumn id="15" xr3:uid="{00000000-0010-0000-0000-00000F000000}" name="agreement"/>
    <tableColumn id="16" xr3:uid="{00000000-0010-0000-0000-000010000000}" name="error_clas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tyleTable" displayName="StyleTable" ref="A1:M25" totalsRowShown="0">
  <tableColumns count="13">
    <tableColumn id="1" xr3:uid="{00000000-0010-0000-0100-000001000000}" name="sample_id"/>
    <tableColumn id="2" xr3:uid="{00000000-0010-0000-0100-000002000000}" name="source_job"/>
    <tableColumn id="3" xr3:uid="{00000000-0010-0000-0100-000003000000}" name="entry_name"/>
    <tableColumn id="4" xr3:uid="{00000000-0010-0000-0100-000004000000}" name="pg_model"/>
    <tableColumn id="5" xr3:uid="{00000000-0010-0000-0100-000005000000}" name="domain"/>
    <tableColumn id="6" xr3:uid="{00000000-0010-0000-0100-000006000000}" name="title"/>
    <tableColumn id="7" xr3:uid="{00000000-0010-0000-0100-000007000000}" name="item_key"/>
    <tableColumn id="8" xr3:uid="{00000000-0010-0000-0100-000008000000}" name="prompt_seed"/>
    <tableColumn id="9" xr3:uid="{00000000-0010-0000-0100-000009000000}" name="image_seed"/>
    <tableColumn id="10" xr3:uid="{00000000-0010-0000-0100-00000A000000}" name="image_reference"/>
    <tableColumn id="11" xr3:uid="{00000000-0010-0000-0100-00000B000000}" name="style_adherent"/>
    <tableColumn id="12" xr3:uid="{00000000-0010-0000-0100-00000C000000}" name="manual_accept"/>
    <tableColumn id="13" xr3:uid="{00000000-0010-0000-0100-00000D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micTable" displayName="ComicTable" ref="A1:M25" totalsRowShown="0">
  <tableColumns count="13">
    <tableColumn id="1" xr3:uid="{00000000-0010-0000-0200-000001000000}" name="sample_id"/>
    <tableColumn id="2" xr3:uid="{00000000-0010-0000-0200-000002000000}" name="source_job"/>
    <tableColumn id="3" xr3:uid="{00000000-0010-0000-0200-000003000000}" name="entry_name"/>
    <tableColumn id="4" xr3:uid="{00000000-0010-0000-0200-000004000000}" name="pg_model"/>
    <tableColumn id="5" xr3:uid="{00000000-0010-0000-0200-000005000000}" name="domain"/>
    <tableColumn id="6" xr3:uid="{00000000-0010-0000-0200-000006000000}" name="title"/>
    <tableColumn id="7" xr3:uid="{00000000-0010-0000-0200-000007000000}" name="item_key"/>
    <tableColumn id="8" xr3:uid="{00000000-0010-0000-0200-000008000000}" name="prompt_seed"/>
    <tableColumn id="9" xr3:uid="{00000000-0010-0000-0200-000009000000}" name="image_seed"/>
    <tableColumn id="10" xr3:uid="{00000000-0010-0000-0200-00000A000000}" name="image_reference"/>
    <tableColumn id="11" xr3:uid="{00000000-0010-0000-0200-00000B000000}" name="style_adherent"/>
    <tableColumn id="12" xr3:uid="{00000000-0010-0000-0200-00000C000000}" name="manual_accept"/>
    <tableColumn id="13" xr3:uid="{00000000-0010-0000-0200-00000D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showGridLines="0" workbookViewId="0">
      <selection activeCell="F11" sqref="F11"/>
    </sheetView>
  </sheetViews>
  <sheetFormatPr baseColWidth="10" defaultColWidth="8.83203125" defaultRowHeight="15"/>
  <cols>
    <col min="1" max="1" width="16" customWidth="1"/>
    <col min="2" max="2" width="21" customWidth="1"/>
    <col min="3" max="3" width="58" customWidth="1"/>
    <col min="4" max="4" width="48" customWidth="1"/>
  </cols>
  <sheetData>
    <row r="1" spans="1:4" ht="30" customHeight="1">
      <c r="A1" s="47" t="s">
        <v>0</v>
      </c>
      <c r="B1" s="47"/>
      <c r="C1" s="47"/>
      <c r="D1" s="47"/>
    </row>
    <row r="3" spans="1:4">
      <c r="A3" s="48" t="s">
        <v>1</v>
      </c>
      <c r="B3" s="48" t="s">
        <v>1</v>
      </c>
      <c r="C3" s="48" t="s">
        <v>1</v>
      </c>
      <c r="D3" s="48" t="s">
        <v>1</v>
      </c>
    </row>
    <row r="4" spans="1:4" ht="32">
      <c r="A4" s="4" t="s">
        <v>2</v>
      </c>
      <c r="B4" s="1" t="s">
        <v>3</v>
      </c>
      <c r="C4" s="1" t="s">
        <v>4</v>
      </c>
      <c r="D4" s="1" t="s">
        <v>5</v>
      </c>
    </row>
    <row r="5" spans="1:4" ht="32">
      <c r="A5" s="5" t="s">
        <v>6</v>
      </c>
      <c r="B5" s="2" t="s">
        <v>7</v>
      </c>
      <c r="C5" s="2" t="s">
        <v>8</v>
      </c>
      <c r="D5" s="2" t="s">
        <v>9</v>
      </c>
    </row>
    <row r="6" spans="1:4" ht="16">
      <c r="A6" s="5" t="s">
        <v>10</v>
      </c>
      <c r="B6" s="2" t="s">
        <v>11</v>
      </c>
      <c r="C6" s="2" t="s">
        <v>12</v>
      </c>
      <c r="D6" s="2" t="s">
        <v>13</v>
      </c>
    </row>
    <row r="7" spans="1:4" ht="32">
      <c r="A7" s="5" t="s">
        <v>14</v>
      </c>
      <c r="B7" s="2" t="s">
        <v>15</v>
      </c>
      <c r="C7" s="2" t="s">
        <v>16</v>
      </c>
      <c r="D7" s="2" t="s">
        <v>17</v>
      </c>
    </row>
    <row r="8" spans="1:4" ht="32">
      <c r="A8" s="5" t="s">
        <v>18</v>
      </c>
      <c r="B8" s="2" t="s">
        <v>19</v>
      </c>
      <c r="C8" s="2" t="s">
        <v>20</v>
      </c>
      <c r="D8" s="2" t="s">
        <v>21</v>
      </c>
    </row>
    <row r="9" spans="1:4" ht="16">
      <c r="A9" s="5" t="s">
        <v>22</v>
      </c>
      <c r="B9" s="2" t="s">
        <v>23</v>
      </c>
      <c r="C9" s="2" t="s">
        <v>24</v>
      </c>
      <c r="D9" s="2" t="s">
        <v>25</v>
      </c>
    </row>
    <row r="10" spans="1:4">
      <c r="A10" s="49" t="s">
        <v>26</v>
      </c>
      <c r="B10" s="50" t="s">
        <v>26</v>
      </c>
      <c r="C10" s="50" t="s">
        <v>26</v>
      </c>
      <c r="D10" s="50" t="s">
        <v>26</v>
      </c>
    </row>
    <row r="11" spans="1:4" ht="32">
      <c r="A11" s="5" t="s">
        <v>27</v>
      </c>
      <c r="B11" s="2" t="s">
        <v>28</v>
      </c>
      <c r="C11" s="2" t="s">
        <v>29</v>
      </c>
      <c r="D11" s="2" t="s">
        <v>30</v>
      </c>
    </row>
    <row r="12" spans="1:4" ht="16">
      <c r="A12" s="5" t="s">
        <v>31</v>
      </c>
      <c r="B12" s="2" t="s">
        <v>32</v>
      </c>
      <c r="C12" s="2" t="s">
        <v>33</v>
      </c>
      <c r="D12" s="2" t="s">
        <v>34</v>
      </c>
    </row>
    <row r="13" spans="1:4" ht="16">
      <c r="A13" s="5" t="s">
        <v>35</v>
      </c>
      <c r="B13" s="2" t="s">
        <v>36</v>
      </c>
      <c r="C13" s="2" t="s">
        <v>37</v>
      </c>
      <c r="D13" s="2" t="s">
        <v>38</v>
      </c>
    </row>
    <row r="14" spans="1:4" ht="32">
      <c r="A14" s="6" t="s">
        <v>39</v>
      </c>
      <c r="B14" s="3" t="s">
        <v>40</v>
      </c>
      <c r="C14" s="3" t="s">
        <v>41</v>
      </c>
      <c r="D14" s="3" t="s">
        <v>42</v>
      </c>
    </row>
    <row r="16" spans="1:4">
      <c r="A16" s="7" t="s">
        <v>43</v>
      </c>
      <c r="B16" s="8">
        <v>1.959963984540054</v>
      </c>
    </row>
    <row r="17" spans="1:2">
      <c r="A17" s="9" t="s">
        <v>44</v>
      </c>
      <c r="B17" s="10">
        <v>168</v>
      </c>
    </row>
  </sheetData>
  <mergeCells count="3">
    <mergeCell ref="A1:D1"/>
    <mergeCell ref="A3:D3"/>
    <mergeCell ref="A10:D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69"/>
  <sheetViews>
    <sheetView showGridLines="0" topLeftCell="A82" workbookViewId="0"/>
  </sheetViews>
  <sheetFormatPr baseColWidth="10" defaultColWidth="8.83203125" defaultRowHeight="15"/>
  <cols>
    <col min="1" max="1" width="11" customWidth="1"/>
    <col min="2" max="2" width="16" customWidth="1"/>
    <col min="3" max="3" width="37" customWidth="1"/>
    <col min="4" max="5" width="12" customWidth="1"/>
    <col min="6" max="6" width="22" customWidth="1"/>
    <col min="7" max="7" width="28" customWidth="1"/>
    <col min="8" max="9" width="13" customWidth="1"/>
    <col min="10" max="10" width="34" customWidth="1"/>
    <col min="11" max="11" width="15" customWidth="1"/>
    <col min="12" max="12" width="24" customWidth="1"/>
    <col min="13" max="13" width="32" customWidth="1"/>
    <col min="14" max="14" width="16" customWidth="1"/>
    <col min="15" max="15" width="12" customWidth="1"/>
    <col min="16" max="16" width="17" customWidth="1"/>
  </cols>
  <sheetData>
    <row r="1" spans="1:16" ht="32" customHeight="1">
      <c r="A1" s="11" t="s">
        <v>45</v>
      </c>
      <c r="B1" s="12" t="s">
        <v>46</v>
      </c>
      <c r="C1" s="12" t="s">
        <v>47</v>
      </c>
      <c r="D1" s="12" t="s">
        <v>48</v>
      </c>
      <c r="E1" s="12" t="s">
        <v>49</v>
      </c>
      <c r="F1" s="12" t="s">
        <v>50</v>
      </c>
      <c r="G1" s="12" t="s">
        <v>51</v>
      </c>
      <c r="H1" s="12" t="s">
        <v>52</v>
      </c>
      <c r="I1" s="12" t="s">
        <v>53</v>
      </c>
      <c r="J1" s="12" t="s">
        <v>54</v>
      </c>
      <c r="K1" s="12" t="s">
        <v>55</v>
      </c>
      <c r="L1" s="12" t="s">
        <v>56</v>
      </c>
      <c r="M1" s="12" t="s">
        <v>57</v>
      </c>
      <c r="N1" s="12" t="s">
        <v>28</v>
      </c>
      <c r="O1" s="12" t="s">
        <v>58</v>
      </c>
      <c r="P1" s="13" t="s">
        <v>59</v>
      </c>
    </row>
    <row r="2" spans="1:16">
      <c r="A2" s="20" t="s">
        <v>60</v>
      </c>
      <c r="B2" s="20" t="s">
        <v>61</v>
      </c>
      <c r="C2" s="20" t="s">
        <v>62</v>
      </c>
      <c r="D2" s="20" t="s">
        <v>63</v>
      </c>
      <c r="E2" s="20" t="s">
        <v>64</v>
      </c>
      <c r="F2" s="20" t="s">
        <v>65</v>
      </c>
      <c r="G2" s="20" t="s">
        <v>66</v>
      </c>
      <c r="H2" s="32">
        <v>1000</v>
      </c>
      <c r="I2" s="32">
        <v>8566257</v>
      </c>
      <c r="J2" s="20"/>
      <c r="K2" s="21"/>
      <c r="L2" s="21"/>
      <c r="M2" s="21"/>
      <c r="N2" s="22"/>
      <c r="O2" s="35" t="str">
        <f t="shared" ref="O2:O33" si="0">IF(OR(K2="",N2=""),"",IF(N2="invalid",0,--(K2=N2)))</f>
        <v/>
      </c>
      <c r="P2" s="23" t="str">
        <f t="shared" ref="P2:P33" si="1">IF(OR(K2="",N2=""),"",IF(N2="invalid","invalid",IF(K2=N2,"agreement",IF(AND(K2="no",N2="yes"),"false_accept","false_reject"))))</f>
        <v/>
      </c>
    </row>
    <row r="3" spans="1:16">
      <c r="A3" s="24" t="s">
        <v>67</v>
      </c>
      <c r="B3" s="24" t="s">
        <v>61</v>
      </c>
      <c r="C3" s="24" t="s">
        <v>62</v>
      </c>
      <c r="D3" s="24" t="s">
        <v>63</v>
      </c>
      <c r="E3" s="24" t="s">
        <v>64</v>
      </c>
      <c r="F3" s="24" t="s">
        <v>65</v>
      </c>
      <c r="G3" s="24" t="s">
        <v>66</v>
      </c>
      <c r="H3" s="33">
        <v>1000</v>
      </c>
      <c r="I3" s="33">
        <v>2875613</v>
      </c>
      <c r="J3" s="24"/>
      <c r="K3" s="25"/>
      <c r="L3" s="25"/>
      <c r="M3" s="25"/>
      <c r="N3" s="26"/>
      <c r="O3" s="36" t="str">
        <f t="shared" si="0"/>
        <v/>
      </c>
      <c r="P3" s="27" t="str">
        <f t="shared" si="1"/>
        <v/>
      </c>
    </row>
    <row r="4" spans="1:16">
      <c r="A4" s="24" t="s">
        <v>68</v>
      </c>
      <c r="B4" s="24" t="s">
        <v>61</v>
      </c>
      <c r="C4" s="24" t="s">
        <v>62</v>
      </c>
      <c r="D4" s="24" t="s">
        <v>63</v>
      </c>
      <c r="E4" s="24" t="s">
        <v>64</v>
      </c>
      <c r="F4" s="24" t="s">
        <v>65</v>
      </c>
      <c r="G4" s="24" t="s">
        <v>66</v>
      </c>
      <c r="H4" s="33">
        <v>1001</v>
      </c>
      <c r="I4" s="33">
        <v>8566257</v>
      </c>
      <c r="J4" s="24"/>
      <c r="K4" s="25"/>
      <c r="L4" s="25"/>
      <c r="M4" s="25"/>
      <c r="N4" s="26"/>
      <c r="O4" s="36" t="str">
        <f t="shared" si="0"/>
        <v/>
      </c>
      <c r="P4" s="27" t="str">
        <f t="shared" si="1"/>
        <v/>
      </c>
    </row>
    <row r="5" spans="1:16">
      <c r="A5" s="24" t="s">
        <v>69</v>
      </c>
      <c r="B5" s="24" t="s">
        <v>61</v>
      </c>
      <c r="C5" s="24" t="s">
        <v>62</v>
      </c>
      <c r="D5" s="24" t="s">
        <v>63</v>
      </c>
      <c r="E5" s="24" t="s">
        <v>64</v>
      </c>
      <c r="F5" s="24" t="s">
        <v>65</v>
      </c>
      <c r="G5" s="24" t="s">
        <v>66</v>
      </c>
      <c r="H5" s="33">
        <v>1001</v>
      </c>
      <c r="I5" s="33">
        <v>2875613</v>
      </c>
      <c r="J5" s="24"/>
      <c r="K5" s="25"/>
      <c r="L5" s="25"/>
      <c r="M5" s="25"/>
      <c r="N5" s="26"/>
      <c r="O5" s="36" t="str">
        <f t="shared" si="0"/>
        <v/>
      </c>
      <c r="P5" s="27" t="str">
        <f t="shared" si="1"/>
        <v/>
      </c>
    </row>
    <row r="6" spans="1:16">
      <c r="A6" s="24" t="s">
        <v>70</v>
      </c>
      <c r="B6" s="24" t="s">
        <v>61</v>
      </c>
      <c r="C6" s="24" t="s">
        <v>62</v>
      </c>
      <c r="D6" s="24" t="s">
        <v>63</v>
      </c>
      <c r="E6" s="24" t="s">
        <v>64</v>
      </c>
      <c r="F6" s="24" t="s">
        <v>71</v>
      </c>
      <c r="G6" s="24" t="s">
        <v>72</v>
      </c>
      <c r="H6" s="33">
        <v>1000</v>
      </c>
      <c r="I6" s="33">
        <v>8566257</v>
      </c>
      <c r="J6" s="24"/>
      <c r="K6" s="25"/>
      <c r="L6" s="25"/>
      <c r="M6" s="25"/>
      <c r="N6" s="26"/>
      <c r="O6" s="36" t="str">
        <f t="shared" si="0"/>
        <v/>
      </c>
      <c r="P6" s="27" t="str">
        <f t="shared" si="1"/>
        <v/>
      </c>
    </row>
    <row r="7" spans="1:16">
      <c r="A7" s="24" t="s">
        <v>73</v>
      </c>
      <c r="B7" s="24" t="s">
        <v>61</v>
      </c>
      <c r="C7" s="24" t="s">
        <v>62</v>
      </c>
      <c r="D7" s="24" t="s">
        <v>63</v>
      </c>
      <c r="E7" s="24" t="s">
        <v>64</v>
      </c>
      <c r="F7" s="24" t="s">
        <v>71</v>
      </c>
      <c r="G7" s="24" t="s">
        <v>72</v>
      </c>
      <c r="H7" s="33">
        <v>1000</v>
      </c>
      <c r="I7" s="33">
        <v>2875613</v>
      </c>
      <c r="J7" s="24"/>
      <c r="K7" s="25"/>
      <c r="L7" s="25"/>
      <c r="M7" s="25"/>
      <c r="N7" s="26"/>
      <c r="O7" s="36" t="str">
        <f t="shared" si="0"/>
        <v/>
      </c>
      <c r="P7" s="27" t="str">
        <f t="shared" si="1"/>
        <v/>
      </c>
    </row>
    <row r="8" spans="1:16">
      <c r="A8" s="24" t="s">
        <v>74</v>
      </c>
      <c r="B8" s="24" t="s">
        <v>61</v>
      </c>
      <c r="C8" s="24" t="s">
        <v>62</v>
      </c>
      <c r="D8" s="24" t="s">
        <v>63</v>
      </c>
      <c r="E8" s="24" t="s">
        <v>64</v>
      </c>
      <c r="F8" s="24" t="s">
        <v>71</v>
      </c>
      <c r="G8" s="24" t="s">
        <v>72</v>
      </c>
      <c r="H8" s="33">
        <v>1001</v>
      </c>
      <c r="I8" s="33">
        <v>8566257</v>
      </c>
      <c r="J8" s="24"/>
      <c r="K8" s="25"/>
      <c r="L8" s="25"/>
      <c r="M8" s="25"/>
      <c r="N8" s="26"/>
      <c r="O8" s="36" t="str">
        <f t="shared" si="0"/>
        <v/>
      </c>
      <c r="P8" s="27" t="str">
        <f t="shared" si="1"/>
        <v/>
      </c>
    </row>
    <row r="9" spans="1:16">
      <c r="A9" s="24" t="s">
        <v>75</v>
      </c>
      <c r="B9" s="24" t="s">
        <v>61</v>
      </c>
      <c r="C9" s="24" t="s">
        <v>62</v>
      </c>
      <c r="D9" s="24" t="s">
        <v>63</v>
      </c>
      <c r="E9" s="24" t="s">
        <v>64</v>
      </c>
      <c r="F9" s="24" t="s">
        <v>71</v>
      </c>
      <c r="G9" s="24" t="s">
        <v>72</v>
      </c>
      <c r="H9" s="33">
        <v>1001</v>
      </c>
      <c r="I9" s="33">
        <v>2875613</v>
      </c>
      <c r="J9" s="24"/>
      <c r="K9" s="25"/>
      <c r="L9" s="25"/>
      <c r="M9" s="25"/>
      <c r="N9" s="26"/>
      <c r="O9" s="36" t="str">
        <f t="shared" si="0"/>
        <v/>
      </c>
      <c r="P9" s="27" t="str">
        <f t="shared" si="1"/>
        <v/>
      </c>
    </row>
    <row r="10" spans="1:16">
      <c r="A10" s="24" t="s">
        <v>76</v>
      </c>
      <c r="B10" s="24" t="s">
        <v>61</v>
      </c>
      <c r="C10" s="24" t="s">
        <v>62</v>
      </c>
      <c r="D10" s="24" t="s">
        <v>63</v>
      </c>
      <c r="E10" s="24" t="s">
        <v>77</v>
      </c>
      <c r="F10" s="24" t="s">
        <v>78</v>
      </c>
      <c r="G10" s="24" t="s">
        <v>79</v>
      </c>
      <c r="H10" s="33">
        <v>1000</v>
      </c>
      <c r="I10" s="33">
        <v>8566257</v>
      </c>
      <c r="J10" s="24"/>
      <c r="K10" s="25"/>
      <c r="L10" s="25"/>
      <c r="M10" s="25"/>
      <c r="N10" s="26"/>
      <c r="O10" s="36" t="str">
        <f t="shared" si="0"/>
        <v/>
      </c>
      <c r="P10" s="27" t="str">
        <f t="shared" si="1"/>
        <v/>
      </c>
    </row>
    <row r="11" spans="1:16">
      <c r="A11" s="24" t="s">
        <v>80</v>
      </c>
      <c r="B11" s="24" t="s">
        <v>61</v>
      </c>
      <c r="C11" s="24" t="s">
        <v>62</v>
      </c>
      <c r="D11" s="24" t="s">
        <v>63</v>
      </c>
      <c r="E11" s="24" t="s">
        <v>77</v>
      </c>
      <c r="F11" s="24" t="s">
        <v>78</v>
      </c>
      <c r="G11" s="24" t="s">
        <v>79</v>
      </c>
      <c r="H11" s="33">
        <v>1000</v>
      </c>
      <c r="I11" s="33">
        <v>2875613</v>
      </c>
      <c r="J11" s="24"/>
      <c r="K11" s="25"/>
      <c r="L11" s="25"/>
      <c r="M11" s="25"/>
      <c r="N11" s="26"/>
      <c r="O11" s="36" t="str">
        <f t="shared" si="0"/>
        <v/>
      </c>
      <c r="P11" s="27" t="str">
        <f t="shared" si="1"/>
        <v/>
      </c>
    </row>
    <row r="12" spans="1:16">
      <c r="A12" s="24" t="s">
        <v>81</v>
      </c>
      <c r="B12" s="24" t="s">
        <v>61</v>
      </c>
      <c r="C12" s="24" t="s">
        <v>62</v>
      </c>
      <c r="D12" s="24" t="s">
        <v>63</v>
      </c>
      <c r="E12" s="24" t="s">
        <v>77</v>
      </c>
      <c r="F12" s="24" t="s">
        <v>78</v>
      </c>
      <c r="G12" s="24" t="s">
        <v>79</v>
      </c>
      <c r="H12" s="33">
        <v>1001</v>
      </c>
      <c r="I12" s="33">
        <v>8566257</v>
      </c>
      <c r="J12" s="24"/>
      <c r="K12" s="25"/>
      <c r="L12" s="25"/>
      <c r="M12" s="25"/>
      <c r="N12" s="26"/>
      <c r="O12" s="36" t="str">
        <f t="shared" si="0"/>
        <v/>
      </c>
      <c r="P12" s="27" t="str">
        <f t="shared" si="1"/>
        <v/>
      </c>
    </row>
    <row r="13" spans="1:16">
      <c r="A13" s="24" t="s">
        <v>82</v>
      </c>
      <c r="B13" s="24" t="s">
        <v>61</v>
      </c>
      <c r="C13" s="24" t="s">
        <v>62</v>
      </c>
      <c r="D13" s="24" t="s">
        <v>63</v>
      </c>
      <c r="E13" s="24" t="s">
        <v>77</v>
      </c>
      <c r="F13" s="24" t="s">
        <v>78</v>
      </c>
      <c r="G13" s="24" t="s">
        <v>79</v>
      </c>
      <c r="H13" s="33">
        <v>1001</v>
      </c>
      <c r="I13" s="33">
        <v>2875613</v>
      </c>
      <c r="J13" s="24"/>
      <c r="K13" s="25"/>
      <c r="L13" s="25"/>
      <c r="M13" s="25"/>
      <c r="N13" s="26"/>
      <c r="O13" s="36" t="str">
        <f t="shared" si="0"/>
        <v/>
      </c>
      <c r="P13" s="27" t="str">
        <f t="shared" si="1"/>
        <v/>
      </c>
    </row>
    <row r="14" spans="1:16">
      <c r="A14" s="24" t="s">
        <v>83</v>
      </c>
      <c r="B14" s="24" t="s">
        <v>61</v>
      </c>
      <c r="C14" s="24" t="s">
        <v>62</v>
      </c>
      <c r="D14" s="24" t="s">
        <v>63</v>
      </c>
      <c r="E14" s="24" t="s">
        <v>77</v>
      </c>
      <c r="F14" s="24" t="s">
        <v>84</v>
      </c>
      <c r="G14" s="24" t="s">
        <v>85</v>
      </c>
      <c r="H14" s="33">
        <v>1000</v>
      </c>
      <c r="I14" s="33">
        <v>8566257</v>
      </c>
      <c r="J14" s="24"/>
      <c r="K14" s="25"/>
      <c r="L14" s="25"/>
      <c r="M14" s="25"/>
      <c r="N14" s="26"/>
      <c r="O14" s="36" t="str">
        <f t="shared" si="0"/>
        <v/>
      </c>
      <c r="P14" s="27" t="str">
        <f t="shared" si="1"/>
        <v/>
      </c>
    </row>
    <row r="15" spans="1:16">
      <c r="A15" s="24" t="s">
        <v>86</v>
      </c>
      <c r="B15" s="24" t="s">
        <v>61</v>
      </c>
      <c r="C15" s="24" t="s">
        <v>62</v>
      </c>
      <c r="D15" s="24" t="s">
        <v>63</v>
      </c>
      <c r="E15" s="24" t="s">
        <v>77</v>
      </c>
      <c r="F15" s="24" t="s">
        <v>84</v>
      </c>
      <c r="G15" s="24" t="s">
        <v>85</v>
      </c>
      <c r="H15" s="33">
        <v>1000</v>
      </c>
      <c r="I15" s="33">
        <v>2875613</v>
      </c>
      <c r="J15" s="24"/>
      <c r="K15" s="25"/>
      <c r="L15" s="25"/>
      <c r="M15" s="25"/>
      <c r="N15" s="26"/>
      <c r="O15" s="36" t="str">
        <f t="shared" si="0"/>
        <v/>
      </c>
      <c r="P15" s="27" t="str">
        <f t="shared" si="1"/>
        <v/>
      </c>
    </row>
    <row r="16" spans="1:16">
      <c r="A16" s="24" t="s">
        <v>87</v>
      </c>
      <c r="B16" s="24" t="s">
        <v>61</v>
      </c>
      <c r="C16" s="24" t="s">
        <v>62</v>
      </c>
      <c r="D16" s="24" t="s">
        <v>63</v>
      </c>
      <c r="E16" s="24" t="s">
        <v>77</v>
      </c>
      <c r="F16" s="24" t="s">
        <v>84</v>
      </c>
      <c r="G16" s="24" t="s">
        <v>85</v>
      </c>
      <c r="H16" s="33">
        <v>1001</v>
      </c>
      <c r="I16" s="33">
        <v>8566257</v>
      </c>
      <c r="J16" s="24"/>
      <c r="K16" s="25"/>
      <c r="L16" s="25"/>
      <c r="M16" s="25"/>
      <c r="N16" s="26"/>
      <c r="O16" s="36" t="str">
        <f t="shared" si="0"/>
        <v/>
      </c>
      <c r="P16" s="27" t="str">
        <f t="shared" si="1"/>
        <v/>
      </c>
    </row>
    <row r="17" spans="1:16">
      <c r="A17" s="24" t="s">
        <v>88</v>
      </c>
      <c r="B17" s="24" t="s">
        <v>61</v>
      </c>
      <c r="C17" s="24" t="s">
        <v>62</v>
      </c>
      <c r="D17" s="24" t="s">
        <v>63</v>
      </c>
      <c r="E17" s="24" t="s">
        <v>77</v>
      </c>
      <c r="F17" s="24" t="s">
        <v>84</v>
      </c>
      <c r="G17" s="24" t="s">
        <v>85</v>
      </c>
      <c r="H17" s="33">
        <v>1001</v>
      </c>
      <c r="I17" s="33">
        <v>2875613</v>
      </c>
      <c r="J17" s="24"/>
      <c r="K17" s="25"/>
      <c r="L17" s="25"/>
      <c r="M17" s="25"/>
      <c r="N17" s="26"/>
      <c r="O17" s="36" t="str">
        <f t="shared" si="0"/>
        <v/>
      </c>
      <c r="P17" s="27" t="str">
        <f t="shared" si="1"/>
        <v/>
      </c>
    </row>
    <row r="18" spans="1:16">
      <c r="A18" s="24" t="s">
        <v>89</v>
      </c>
      <c r="B18" s="24" t="s">
        <v>61</v>
      </c>
      <c r="C18" s="24" t="s">
        <v>62</v>
      </c>
      <c r="D18" s="24" t="s">
        <v>63</v>
      </c>
      <c r="E18" s="24" t="s">
        <v>90</v>
      </c>
      <c r="F18" s="24" t="s">
        <v>91</v>
      </c>
      <c r="G18" s="24" t="s">
        <v>92</v>
      </c>
      <c r="H18" s="33">
        <v>1000</v>
      </c>
      <c r="I18" s="33">
        <v>8566257</v>
      </c>
      <c r="J18" s="24"/>
      <c r="K18" s="25"/>
      <c r="L18" s="25"/>
      <c r="M18" s="25"/>
      <c r="N18" s="26"/>
      <c r="O18" s="36" t="str">
        <f t="shared" si="0"/>
        <v/>
      </c>
      <c r="P18" s="27" t="str">
        <f t="shared" si="1"/>
        <v/>
      </c>
    </row>
    <row r="19" spans="1:16">
      <c r="A19" s="24" t="s">
        <v>93</v>
      </c>
      <c r="B19" s="24" t="s">
        <v>61</v>
      </c>
      <c r="C19" s="24" t="s">
        <v>62</v>
      </c>
      <c r="D19" s="24" t="s">
        <v>63</v>
      </c>
      <c r="E19" s="24" t="s">
        <v>90</v>
      </c>
      <c r="F19" s="24" t="s">
        <v>91</v>
      </c>
      <c r="G19" s="24" t="s">
        <v>92</v>
      </c>
      <c r="H19" s="33">
        <v>1000</v>
      </c>
      <c r="I19" s="33">
        <v>2875613</v>
      </c>
      <c r="J19" s="24"/>
      <c r="K19" s="25"/>
      <c r="L19" s="25"/>
      <c r="M19" s="25"/>
      <c r="N19" s="26"/>
      <c r="O19" s="36" t="str">
        <f t="shared" si="0"/>
        <v/>
      </c>
      <c r="P19" s="27" t="str">
        <f t="shared" si="1"/>
        <v/>
      </c>
    </row>
    <row r="20" spans="1:16">
      <c r="A20" s="24" t="s">
        <v>94</v>
      </c>
      <c r="B20" s="24" t="s">
        <v>61</v>
      </c>
      <c r="C20" s="24" t="s">
        <v>62</v>
      </c>
      <c r="D20" s="24" t="s">
        <v>63</v>
      </c>
      <c r="E20" s="24" t="s">
        <v>90</v>
      </c>
      <c r="F20" s="24" t="s">
        <v>91</v>
      </c>
      <c r="G20" s="24" t="s">
        <v>92</v>
      </c>
      <c r="H20" s="33">
        <v>1001</v>
      </c>
      <c r="I20" s="33">
        <v>8566257</v>
      </c>
      <c r="J20" s="24"/>
      <c r="K20" s="25"/>
      <c r="L20" s="25"/>
      <c r="M20" s="25"/>
      <c r="N20" s="26"/>
      <c r="O20" s="36" t="str">
        <f t="shared" si="0"/>
        <v/>
      </c>
      <c r="P20" s="27" t="str">
        <f t="shared" si="1"/>
        <v/>
      </c>
    </row>
    <row r="21" spans="1:16">
      <c r="A21" s="24" t="s">
        <v>95</v>
      </c>
      <c r="B21" s="24" t="s">
        <v>61</v>
      </c>
      <c r="C21" s="24" t="s">
        <v>62</v>
      </c>
      <c r="D21" s="24" t="s">
        <v>63</v>
      </c>
      <c r="E21" s="24" t="s">
        <v>90</v>
      </c>
      <c r="F21" s="24" t="s">
        <v>91</v>
      </c>
      <c r="G21" s="24" t="s">
        <v>92</v>
      </c>
      <c r="H21" s="33">
        <v>1001</v>
      </c>
      <c r="I21" s="33">
        <v>2875613</v>
      </c>
      <c r="J21" s="24"/>
      <c r="K21" s="25"/>
      <c r="L21" s="25"/>
      <c r="M21" s="25"/>
      <c r="N21" s="26"/>
      <c r="O21" s="36" t="str">
        <f t="shared" si="0"/>
        <v/>
      </c>
      <c r="P21" s="27" t="str">
        <f t="shared" si="1"/>
        <v/>
      </c>
    </row>
    <row r="22" spans="1:16">
      <c r="A22" s="24" t="s">
        <v>96</v>
      </c>
      <c r="B22" s="24" t="s">
        <v>61</v>
      </c>
      <c r="C22" s="24" t="s">
        <v>62</v>
      </c>
      <c r="D22" s="24" t="s">
        <v>63</v>
      </c>
      <c r="E22" s="24" t="s">
        <v>90</v>
      </c>
      <c r="F22" s="24" t="s">
        <v>97</v>
      </c>
      <c r="G22" s="24" t="s">
        <v>98</v>
      </c>
      <c r="H22" s="33">
        <v>1000</v>
      </c>
      <c r="I22" s="33">
        <v>8566257</v>
      </c>
      <c r="J22" s="24"/>
      <c r="K22" s="25"/>
      <c r="L22" s="25"/>
      <c r="M22" s="25"/>
      <c r="N22" s="26"/>
      <c r="O22" s="36" t="str">
        <f t="shared" si="0"/>
        <v/>
      </c>
      <c r="P22" s="27" t="str">
        <f t="shared" si="1"/>
        <v/>
      </c>
    </row>
    <row r="23" spans="1:16">
      <c r="A23" s="24" t="s">
        <v>99</v>
      </c>
      <c r="B23" s="24" t="s">
        <v>61</v>
      </c>
      <c r="C23" s="24" t="s">
        <v>62</v>
      </c>
      <c r="D23" s="24" t="s">
        <v>63</v>
      </c>
      <c r="E23" s="24" t="s">
        <v>90</v>
      </c>
      <c r="F23" s="24" t="s">
        <v>97</v>
      </c>
      <c r="G23" s="24" t="s">
        <v>98</v>
      </c>
      <c r="H23" s="33">
        <v>1000</v>
      </c>
      <c r="I23" s="33">
        <v>2875613</v>
      </c>
      <c r="J23" s="24"/>
      <c r="K23" s="25"/>
      <c r="L23" s="25"/>
      <c r="M23" s="25"/>
      <c r="N23" s="26"/>
      <c r="O23" s="36" t="str">
        <f t="shared" si="0"/>
        <v/>
      </c>
      <c r="P23" s="27" t="str">
        <f t="shared" si="1"/>
        <v/>
      </c>
    </row>
    <row r="24" spans="1:16">
      <c r="A24" s="24" t="s">
        <v>100</v>
      </c>
      <c r="B24" s="24" t="s">
        <v>61</v>
      </c>
      <c r="C24" s="24" t="s">
        <v>62</v>
      </c>
      <c r="D24" s="24" t="s">
        <v>63</v>
      </c>
      <c r="E24" s="24" t="s">
        <v>90</v>
      </c>
      <c r="F24" s="24" t="s">
        <v>97</v>
      </c>
      <c r="G24" s="24" t="s">
        <v>98</v>
      </c>
      <c r="H24" s="33">
        <v>1001</v>
      </c>
      <c r="I24" s="33">
        <v>8566257</v>
      </c>
      <c r="J24" s="24"/>
      <c r="K24" s="25"/>
      <c r="L24" s="25"/>
      <c r="M24" s="25"/>
      <c r="N24" s="26"/>
      <c r="O24" s="36" t="str">
        <f t="shared" si="0"/>
        <v/>
      </c>
      <c r="P24" s="27" t="str">
        <f t="shared" si="1"/>
        <v/>
      </c>
    </row>
    <row r="25" spans="1:16">
      <c r="A25" s="24" t="s">
        <v>101</v>
      </c>
      <c r="B25" s="24" t="s">
        <v>61</v>
      </c>
      <c r="C25" s="24" t="s">
        <v>62</v>
      </c>
      <c r="D25" s="24" t="s">
        <v>63</v>
      </c>
      <c r="E25" s="24" t="s">
        <v>90</v>
      </c>
      <c r="F25" s="24" t="s">
        <v>97</v>
      </c>
      <c r="G25" s="24" t="s">
        <v>98</v>
      </c>
      <c r="H25" s="33">
        <v>1001</v>
      </c>
      <c r="I25" s="33">
        <v>2875613</v>
      </c>
      <c r="J25" s="24"/>
      <c r="K25" s="25"/>
      <c r="L25" s="25"/>
      <c r="M25" s="25"/>
      <c r="N25" s="26"/>
      <c r="O25" s="36" t="str">
        <f t="shared" si="0"/>
        <v/>
      </c>
      <c r="P25" s="27" t="str">
        <f t="shared" si="1"/>
        <v/>
      </c>
    </row>
    <row r="26" spans="1:16">
      <c r="A26" s="24" t="s">
        <v>102</v>
      </c>
      <c r="B26" s="24" t="s">
        <v>61</v>
      </c>
      <c r="C26" s="24" t="s">
        <v>103</v>
      </c>
      <c r="D26" s="24" t="s">
        <v>104</v>
      </c>
      <c r="E26" s="24" t="s">
        <v>64</v>
      </c>
      <c r="F26" s="24" t="s">
        <v>65</v>
      </c>
      <c r="G26" s="24" t="s">
        <v>66</v>
      </c>
      <c r="H26" s="33">
        <v>1000</v>
      </c>
      <c r="I26" s="33">
        <v>8566257</v>
      </c>
      <c r="J26" s="24"/>
      <c r="K26" s="25"/>
      <c r="L26" s="25"/>
      <c r="M26" s="25"/>
      <c r="N26" s="26"/>
      <c r="O26" s="36" t="str">
        <f t="shared" si="0"/>
        <v/>
      </c>
      <c r="P26" s="27" t="str">
        <f t="shared" si="1"/>
        <v/>
      </c>
    </row>
    <row r="27" spans="1:16">
      <c r="A27" s="24" t="s">
        <v>105</v>
      </c>
      <c r="B27" s="24" t="s">
        <v>61</v>
      </c>
      <c r="C27" s="24" t="s">
        <v>103</v>
      </c>
      <c r="D27" s="24" t="s">
        <v>104</v>
      </c>
      <c r="E27" s="24" t="s">
        <v>64</v>
      </c>
      <c r="F27" s="24" t="s">
        <v>65</v>
      </c>
      <c r="G27" s="24" t="s">
        <v>66</v>
      </c>
      <c r="H27" s="33">
        <v>1000</v>
      </c>
      <c r="I27" s="33">
        <v>2875613</v>
      </c>
      <c r="J27" s="24"/>
      <c r="K27" s="25"/>
      <c r="L27" s="25"/>
      <c r="M27" s="25"/>
      <c r="N27" s="26"/>
      <c r="O27" s="36" t="str">
        <f t="shared" si="0"/>
        <v/>
      </c>
      <c r="P27" s="27" t="str">
        <f t="shared" si="1"/>
        <v/>
      </c>
    </row>
    <row r="28" spans="1:16">
      <c r="A28" s="24" t="s">
        <v>106</v>
      </c>
      <c r="B28" s="24" t="s">
        <v>61</v>
      </c>
      <c r="C28" s="24" t="s">
        <v>103</v>
      </c>
      <c r="D28" s="24" t="s">
        <v>104</v>
      </c>
      <c r="E28" s="24" t="s">
        <v>64</v>
      </c>
      <c r="F28" s="24" t="s">
        <v>65</v>
      </c>
      <c r="G28" s="24" t="s">
        <v>66</v>
      </c>
      <c r="H28" s="33">
        <v>1001</v>
      </c>
      <c r="I28" s="33">
        <v>8566257</v>
      </c>
      <c r="J28" s="24"/>
      <c r="K28" s="25"/>
      <c r="L28" s="25"/>
      <c r="M28" s="25"/>
      <c r="N28" s="26"/>
      <c r="O28" s="36" t="str">
        <f t="shared" si="0"/>
        <v/>
      </c>
      <c r="P28" s="27" t="str">
        <f t="shared" si="1"/>
        <v/>
      </c>
    </row>
    <row r="29" spans="1:16">
      <c r="A29" s="24" t="s">
        <v>107</v>
      </c>
      <c r="B29" s="24" t="s">
        <v>61</v>
      </c>
      <c r="C29" s="24" t="s">
        <v>103</v>
      </c>
      <c r="D29" s="24" t="s">
        <v>104</v>
      </c>
      <c r="E29" s="24" t="s">
        <v>64</v>
      </c>
      <c r="F29" s="24" t="s">
        <v>65</v>
      </c>
      <c r="G29" s="24" t="s">
        <v>66</v>
      </c>
      <c r="H29" s="33">
        <v>1001</v>
      </c>
      <c r="I29" s="33">
        <v>2875613</v>
      </c>
      <c r="J29" s="24"/>
      <c r="K29" s="25"/>
      <c r="L29" s="25"/>
      <c r="M29" s="25"/>
      <c r="N29" s="26"/>
      <c r="O29" s="36" t="str">
        <f t="shared" si="0"/>
        <v/>
      </c>
      <c r="P29" s="27" t="str">
        <f t="shared" si="1"/>
        <v/>
      </c>
    </row>
    <row r="30" spans="1:16">
      <c r="A30" s="24" t="s">
        <v>108</v>
      </c>
      <c r="B30" s="24" t="s">
        <v>61</v>
      </c>
      <c r="C30" s="24" t="s">
        <v>103</v>
      </c>
      <c r="D30" s="24" t="s">
        <v>104</v>
      </c>
      <c r="E30" s="24" t="s">
        <v>64</v>
      </c>
      <c r="F30" s="24" t="s">
        <v>71</v>
      </c>
      <c r="G30" s="24" t="s">
        <v>72</v>
      </c>
      <c r="H30" s="33">
        <v>1000</v>
      </c>
      <c r="I30" s="33">
        <v>8566257</v>
      </c>
      <c r="J30" s="24"/>
      <c r="K30" s="25"/>
      <c r="L30" s="25"/>
      <c r="M30" s="25"/>
      <c r="N30" s="26"/>
      <c r="O30" s="36" t="str">
        <f t="shared" si="0"/>
        <v/>
      </c>
      <c r="P30" s="27" t="str">
        <f t="shared" si="1"/>
        <v/>
      </c>
    </row>
    <row r="31" spans="1:16">
      <c r="A31" s="24" t="s">
        <v>109</v>
      </c>
      <c r="B31" s="24" t="s">
        <v>61</v>
      </c>
      <c r="C31" s="24" t="s">
        <v>103</v>
      </c>
      <c r="D31" s="24" t="s">
        <v>104</v>
      </c>
      <c r="E31" s="24" t="s">
        <v>64</v>
      </c>
      <c r="F31" s="24" t="s">
        <v>71</v>
      </c>
      <c r="G31" s="24" t="s">
        <v>72</v>
      </c>
      <c r="H31" s="33">
        <v>1000</v>
      </c>
      <c r="I31" s="33">
        <v>2875613</v>
      </c>
      <c r="J31" s="24"/>
      <c r="K31" s="25"/>
      <c r="L31" s="25"/>
      <c r="M31" s="25"/>
      <c r="N31" s="26"/>
      <c r="O31" s="36" t="str">
        <f t="shared" si="0"/>
        <v/>
      </c>
      <c r="P31" s="27" t="str">
        <f t="shared" si="1"/>
        <v/>
      </c>
    </row>
    <row r="32" spans="1:16">
      <c r="A32" s="24" t="s">
        <v>110</v>
      </c>
      <c r="B32" s="24" t="s">
        <v>61</v>
      </c>
      <c r="C32" s="24" t="s">
        <v>103</v>
      </c>
      <c r="D32" s="24" t="s">
        <v>104</v>
      </c>
      <c r="E32" s="24" t="s">
        <v>64</v>
      </c>
      <c r="F32" s="24" t="s">
        <v>71</v>
      </c>
      <c r="G32" s="24" t="s">
        <v>72</v>
      </c>
      <c r="H32" s="33">
        <v>1001</v>
      </c>
      <c r="I32" s="33">
        <v>8566257</v>
      </c>
      <c r="J32" s="24"/>
      <c r="K32" s="25"/>
      <c r="L32" s="25"/>
      <c r="M32" s="25"/>
      <c r="N32" s="26"/>
      <c r="O32" s="36" t="str">
        <f t="shared" si="0"/>
        <v/>
      </c>
      <c r="P32" s="27" t="str">
        <f t="shared" si="1"/>
        <v/>
      </c>
    </row>
    <row r="33" spans="1:16">
      <c r="A33" s="24" t="s">
        <v>111</v>
      </c>
      <c r="B33" s="24" t="s">
        <v>61</v>
      </c>
      <c r="C33" s="24" t="s">
        <v>103</v>
      </c>
      <c r="D33" s="24" t="s">
        <v>104</v>
      </c>
      <c r="E33" s="24" t="s">
        <v>64</v>
      </c>
      <c r="F33" s="24" t="s">
        <v>71</v>
      </c>
      <c r="G33" s="24" t="s">
        <v>72</v>
      </c>
      <c r="H33" s="33">
        <v>1001</v>
      </c>
      <c r="I33" s="33">
        <v>2875613</v>
      </c>
      <c r="J33" s="24"/>
      <c r="K33" s="25"/>
      <c r="L33" s="25"/>
      <c r="M33" s="25"/>
      <c r="N33" s="26"/>
      <c r="O33" s="36" t="str">
        <f t="shared" si="0"/>
        <v/>
      </c>
      <c r="P33" s="27" t="str">
        <f t="shared" si="1"/>
        <v/>
      </c>
    </row>
    <row r="34" spans="1:16">
      <c r="A34" s="24" t="s">
        <v>112</v>
      </c>
      <c r="B34" s="24" t="s">
        <v>61</v>
      </c>
      <c r="C34" s="24" t="s">
        <v>103</v>
      </c>
      <c r="D34" s="24" t="s">
        <v>104</v>
      </c>
      <c r="E34" s="24" t="s">
        <v>77</v>
      </c>
      <c r="F34" s="24" t="s">
        <v>78</v>
      </c>
      <c r="G34" s="24" t="s">
        <v>79</v>
      </c>
      <c r="H34" s="33">
        <v>1000</v>
      </c>
      <c r="I34" s="33">
        <v>8566257</v>
      </c>
      <c r="J34" s="24"/>
      <c r="K34" s="25"/>
      <c r="L34" s="25"/>
      <c r="M34" s="25"/>
      <c r="N34" s="26"/>
      <c r="O34" s="36" t="str">
        <f t="shared" ref="O34:O65" si="2">IF(OR(K34="",N34=""),"",IF(N34="invalid",0,--(K34=N34)))</f>
        <v/>
      </c>
      <c r="P34" s="27" t="str">
        <f t="shared" ref="P34:P65" si="3">IF(OR(K34="",N34=""),"",IF(N34="invalid","invalid",IF(K34=N34,"agreement",IF(AND(K34="no",N34="yes"),"false_accept","false_reject"))))</f>
        <v/>
      </c>
    </row>
    <row r="35" spans="1:16">
      <c r="A35" s="24" t="s">
        <v>113</v>
      </c>
      <c r="B35" s="24" t="s">
        <v>61</v>
      </c>
      <c r="C35" s="24" t="s">
        <v>103</v>
      </c>
      <c r="D35" s="24" t="s">
        <v>104</v>
      </c>
      <c r="E35" s="24" t="s">
        <v>77</v>
      </c>
      <c r="F35" s="24" t="s">
        <v>78</v>
      </c>
      <c r="G35" s="24" t="s">
        <v>79</v>
      </c>
      <c r="H35" s="33">
        <v>1000</v>
      </c>
      <c r="I35" s="33">
        <v>2875613</v>
      </c>
      <c r="J35" s="24"/>
      <c r="K35" s="25"/>
      <c r="L35" s="25"/>
      <c r="M35" s="25"/>
      <c r="N35" s="26"/>
      <c r="O35" s="36" t="str">
        <f t="shared" si="2"/>
        <v/>
      </c>
      <c r="P35" s="27" t="str">
        <f t="shared" si="3"/>
        <v/>
      </c>
    </row>
    <row r="36" spans="1:16">
      <c r="A36" s="24" t="s">
        <v>114</v>
      </c>
      <c r="B36" s="24" t="s">
        <v>61</v>
      </c>
      <c r="C36" s="24" t="s">
        <v>103</v>
      </c>
      <c r="D36" s="24" t="s">
        <v>104</v>
      </c>
      <c r="E36" s="24" t="s">
        <v>77</v>
      </c>
      <c r="F36" s="24" t="s">
        <v>78</v>
      </c>
      <c r="G36" s="24" t="s">
        <v>79</v>
      </c>
      <c r="H36" s="33">
        <v>1001</v>
      </c>
      <c r="I36" s="33">
        <v>8566257</v>
      </c>
      <c r="J36" s="24"/>
      <c r="K36" s="25"/>
      <c r="L36" s="25"/>
      <c r="M36" s="25"/>
      <c r="N36" s="26"/>
      <c r="O36" s="36" t="str">
        <f t="shared" si="2"/>
        <v/>
      </c>
      <c r="P36" s="27" t="str">
        <f t="shared" si="3"/>
        <v/>
      </c>
    </row>
    <row r="37" spans="1:16">
      <c r="A37" s="24" t="s">
        <v>115</v>
      </c>
      <c r="B37" s="24" t="s">
        <v>61</v>
      </c>
      <c r="C37" s="24" t="s">
        <v>103</v>
      </c>
      <c r="D37" s="24" t="s">
        <v>104</v>
      </c>
      <c r="E37" s="24" t="s">
        <v>77</v>
      </c>
      <c r="F37" s="24" t="s">
        <v>78</v>
      </c>
      <c r="G37" s="24" t="s">
        <v>79</v>
      </c>
      <c r="H37" s="33">
        <v>1001</v>
      </c>
      <c r="I37" s="33">
        <v>2875613</v>
      </c>
      <c r="J37" s="24"/>
      <c r="K37" s="25"/>
      <c r="L37" s="25"/>
      <c r="M37" s="25"/>
      <c r="N37" s="26"/>
      <c r="O37" s="36" t="str">
        <f t="shared" si="2"/>
        <v/>
      </c>
      <c r="P37" s="27" t="str">
        <f t="shared" si="3"/>
        <v/>
      </c>
    </row>
    <row r="38" spans="1:16">
      <c r="A38" s="24" t="s">
        <v>116</v>
      </c>
      <c r="B38" s="24" t="s">
        <v>61</v>
      </c>
      <c r="C38" s="24" t="s">
        <v>103</v>
      </c>
      <c r="D38" s="24" t="s">
        <v>104</v>
      </c>
      <c r="E38" s="24" t="s">
        <v>77</v>
      </c>
      <c r="F38" s="24" t="s">
        <v>84</v>
      </c>
      <c r="G38" s="24" t="s">
        <v>85</v>
      </c>
      <c r="H38" s="33">
        <v>1000</v>
      </c>
      <c r="I38" s="33">
        <v>8566257</v>
      </c>
      <c r="J38" s="24"/>
      <c r="K38" s="25"/>
      <c r="L38" s="25"/>
      <c r="M38" s="25"/>
      <c r="N38" s="26"/>
      <c r="O38" s="36" t="str">
        <f t="shared" si="2"/>
        <v/>
      </c>
      <c r="P38" s="27" t="str">
        <f t="shared" si="3"/>
        <v/>
      </c>
    </row>
    <row r="39" spans="1:16">
      <c r="A39" s="24" t="s">
        <v>117</v>
      </c>
      <c r="B39" s="24" t="s">
        <v>61</v>
      </c>
      <c r="C39" s="24" t="s">
        <v>103</v>
      </c>
      <c r="D39" s="24" t="s">
        <v>104</v>
      </c>
      <c r="E39" s="24" t="s">
        <v>77</v>
      </c>
      <c r="F39" s="24" t="s">
        <v>84</v>
      </c>
      <c r="G39" s="24" t="s">
        <v>85</v>
      </c>
      <c r="H39" s="33">
        <v>1000</v>
      </c>
      <c r="I39" s="33">
        <v>2875613</v>
      </c>
      <c r="J39" s="24"/>
      <c r="K39" s="25"/>
      <c r="L39" s="25"/>
      <c r="M39" s="25"/>
      <c r="N39" s="26"/>
      <c r="O39" s="36" t="str">
        <f t="shared" si="2"/>
        <v/>
      </c>
      <c r="P39" s="27" t="str">
        <f t="shared" si="3"/>
        <v/>
      </c>
    </row>
    <row r="40" spans="1:16">
      <c r="A40" s="24" t="s">
        <v>118</v>
      </c>
      <c r="B40" s="24" t="s">
        <v>61</v>
      </c>
      <c r="C40" s="24" t="s">
        <v>103</v>
      </c>
      <c r="D40" s="24" t="s">
        <v>104</v>
      </c>
      <c r="E40" s="24" t="s">
        <v>77</v>
      </c>
      <c r="F40" s="24" t="s">
        <v>84</v>
      </c>
      <c r="G40" s="24" t="s">
        <v>85</v>
      </c>
      <c r="H40" s="33">
        <v>1001</v>
      </c>
      <c r="I40" s="33">
        <v>8566257</v>
      </c>
      <c r="J40" s="24"/>
      <c r="K40" s="25"/>
      <c r="L40" s="25"/>
      <c r="M40" s="25"/>
      <c r="N40" s="26"/>
      <c r="O40" s="36" t="str">
        <f t="shared" si="2"/>
        <v/>
      </c>
      <c r="P40" s="27" t="str">
        <f t="shared" si="3"/>
        <v/>
      </c>
    </row>
    <row r="41" spans="1:16">
      <c r="A41" s="24" t="s">
        <v>119</v>
      </c>
      <c r="B41" s="24" t="s">
        <v>61</v>
      </c>
      <c r="C41" s="24" t="s">
        <v>103</v>
      </c>
      <c r="D41" s="24" t="s">
        <v>104</v>
      </c>
      <c r="E41" s="24" t="s">
        <v>77</v>
      </c>
      <c r="F41" s="24" t="s">
        <v>84</v>
      </c>
      <c r="G41" s="24" t="s">
        <v>85</v>
      </c>
      <c r="H41" s="33">
        <v>1001</v>
      </c>
      <c r="I41" s="33">
        <v>2875613</v>
      </c>
      <c r="J41" s="24"/>
      <c r="K41" s="25"/>
      <c r="L41" s="25"/>
      <c r="M41" s="25"/>
      <c r="N41" s="26"/>
      <c r="O41" s="36" t="str">
        <f t="shared" si="2"/>
        <v/>
      </c>
      <c r="P41" s="27" t="str">
        <f t="shared" si="3"/>
        <v/>
      </c>
    </row>
    <row r="42" spans="1:16">
      <c r="A42" s="24" t="s">
        <v>120</v>
      </c>
      <c r="B42" s="24" t="s">
        <v>61</v>
      </c>
      <c r="C42" s="24" t="s">
        <v>103</v>
      </c>
      <c r="D42" s="24" t="s">
        <v>104</v>
      </c>
      <c r="E42" s="24" t="s">
        <v>90</v>
      </c>
      <c r="F42" s="24" t="s">
        <v>91</v>
      </c>
      <c r="G42" s="24" t="s">
        <v>92</v>
      </c>
      <c r="H42" s="33">
        <v>1000</v>
      </c>
      <c r="I42" s="33">
        <v>8566257</v>
      </c>
      <c r="J42" s="24"/>
      <c r="K42" s="25"/>
      <c r="L42" s="25"/>
      <c r="M42" s="25"/>
      <c r="N42" s="26"/>
      <c r="O42" s="36" t="str">
        <f t="shared" si="2"/>
        <v/>
      </c>
      <c r="P42" s="27" t="str">
        <f t="shared" si="3"/>
        <v/>
      </c>
    </row>
    <row r="43" spans="1:16">
      <c r="A43" s="24" t="s">
        <v>121</v>
      </c>
      <c r="B43" s="24" t="s">
        <v>61</v>
      </c>
      <c r="C43" s="24" t="s">
        <v>103</v>
      </c>
      <c r="D43" s="24" t="s">
        <v>104</v>
      </c>
      <c r="E43" s="24" t="s">
        <v>90</v>
      </c>
      <c r="F43" s="24" t="s">
        <v>91</v>
      </c>
      <c r="G43" s="24" t="s">
        <v>92</v>
      </c>
      <c r="H43" s="33">
        <v>1000</v>
      </c>
      <c r="I43" s="33">
        <v>2875613</v>
      </c>
      <c r="J43" s="24"/>
      <c r="K43" s="25"/>
      <c r="L43" s="25"/>
      <c r="M43" s="25"/>
      <c r="N43" s="26"/>
      <c r="O43" s="36" t="str">
        <f t="shared" si="2"/>
        <v/>
      </c>
      <c r="P43" s="27" t="str">
        <f t="shared" si="3"/>
        <v/>
      </c>
    </row>
    <row r="44" spans="1:16">
      <c r="A44" s="24" t="s">
        <v>122</v>
      </c>
      <c r="B44" s="24" t="s">
        <v>61</v>
      </c>
      <c r="C44" s="24" t="s">
        <v>103</v>
      </c>
      <c r="D44" s="24" t="s">
        <v>104</v>
      </c>
      <c r="E44" s="24" t="s">
        <v>90</v>
      </c>
      <c r="F44" s="24" t="s">
        <v>91</v>
      </c>
      <c r="G44" s="24" t="s">
        <v>92</v>
      </c>
      <c r="H44" s="33">
        <v>1001</v>
      </c>
      <c r="I44" s="33">
        <v>8566257</v>
      </c>
      <c r="J44" s="24"/>
      <c r="K44" s="25"/>
      <c r="L44" s="25"/>
      <c r="M44" s="25"/>
      <c r="N44" s="26"/>
      <c r="O44" s="36" t="str">
        <f t="shared" si="2"/>
        <v/>
      </c>
      <c r="P44" s="27" t="str">
        <f t="shared" si="3"/>
        <v/>
      </c>
    </row>
    <row r="45" spans="1:16">
      <c r="A45" s="24" t="s">
        <v>123</v>
      </c>
      <c r="B45" s="24" t="s">
        <v>61</v>
      </c>
      <c r="C45" s="24" t="s">
        <v>103</v>
      </c>
      <c r="D45" s="24" t="s">
        <v>104</v>
      </c>
      <c r="E45" s="24" t="s">
        <v>90</v>
      </c>
      <c r="F45" s="24" t="s">
        <v>91</v>
      </c>
      <c r="G45" s="24" t="s">
        <v>92</v>
      </c>
      <c r="H45" s="33">
        <v>1001</v>
      </c>
      <c r="I45" s="33">
        <v>2875613</v>
      </c>
      <c r="J45" s="24"/>
      <c r="K45" s="25"/>
      <c r="L45" s="25"/>
      <c r="M45" s="25"/>
      <c r="N45" s="26"/>
      <c r="O45" s="36" t="str">
        <f t="shared" si="2"/>
        <v/>
      </c>
      <c r="P45" s="27" t="str">
        <f t="shared" si="3"/>
        <v/>
      </c>
    </row>
    <row r="46" spans="1:16">
      <c r="A46" s="24" t="s">
        <v>124</v>
      </c>
      <c r="B46" s="24" t="s">
        <v>61</v>
      </c>
      <c r="C46" s="24" t="s">
        <v>103</v>
      </c>
      <c r="D46" s="24" t="s">
        <v>104</v>
      </c>
      <c r="E46" s="24" t="s">
        <v>90</v>
      </c>
      <c r="F46" s="24" t="s">
        <v>97</v>
      </c>
      <c r="G46" s="24" t="s">
        <v>98</v>
      </c>
      <c r="H46" s="33">
        <v>1000</v>
      </c>
      <c r="I46" s="33">
        <v>8566257</v>
      </c>
      <c r="J46" s="24"/>
      <c r="K46" s="25"/>
      <c r="L46" s="25"/>
      <c r="M46" s="25"/>
      <c r="N46" s="26"/>
      <c r="O46" s="36" t="str">
        <f t="shared" si="2"/>
        <v/>
      </c>
      <c r="P46" s="27" t="str">
        <f t="shared" si="3"/>
        <v/>
      </c>
    </row>
    <row r="47" spans="1:16">
      <c r="A47" s="24" t="s">
        <v>125</v>
      </c>
      <c r="B47" s="24" t="s">
        <v>61</v>
      </c>
      <c r="C47" s="24" t="s">
        <v>103</v>
      </c>
      <c r="D47" s="24" t="s">
        <v>104</v>
      </c>
      <c r="E47" s="24" t="s">
        <v>90</v>
      </c>
      <c r="F47" s="24" t="s">
        <v>97</v>
      </c>
      <c r="G47" s="24" t="s">
        <v>98</v>
      </c>
      <c r="H47" s="33">
        <v>1000</v>
      </c>
      <c r="I47" s="33">
        <v>2875613</v>
      </c>
      <c r="J47" s="24"/>
      <c r="K47" s="25"/>
      <c r="L47" s="25"/>
      <c r="M47" s="25"/>
      <c r="N47" s="26"/>
      <c r="O47" s="36" t="str">
        <f t="shared" si="2"/>
        <v/>
      </c>
      <c r="P47" s="27" t="str">
        <f t="shared" si="3"/>
        <v/>
      </c>
    </row>
    <row r="48" spans="1:16">
      <c r="A48" s="24" t="s">
        <v>126</v>
      </c>
      <c r="B48" s="24" t="s">
        <v>61</v>
      </c>
      <c r="C48" s="24" t="s">
        <v>103</v>
      </c>
      <c r="D48" s="24" t="s">
        <v>104</v>
      </c>
      <c r="E48" s="24" t="s">
        <v>90</v>
      </c>
      <c r="F48" s="24" t="s">
        <v>97</v>
      </c>
      <c r="G48" s="24" t="s">
        <v>98</v>
      </c>
      <c r="H48" s="33">
        <v>1001</v>
      </c>
      <c r="I48" s="33">
        <v>8566257</v>
      </c>
      <c r="J48" s="24"/>
      <c r="K48" s="25"/>
      <c r="L48" s="25"/>
      <c r="M48" s="25"/>
      <c r="N48" s="26"/>
      <c r="O48" s="36" t="str">
        <f t="shared" si="2"/>
        <v/>
      </c>
      <c r="P48" s="27" t="str">
        <f t="shared" si="3"/>
        <v/>
      </c>
    </row>
    <row r="49" spans="1:16">
      <c r="A49" s="24" t="s">
        <v>127</v>
      </c>
      <c r="B49" s="24" t="s">
        <v>61</v>
      </c>
      <c r="C49" s="24" t="s">
        <v>103</v>
      </c>
      <c r="D49" s="24" t="s">
        <v>104</v>
      </c>
      <c r="E49" s="24" t="s">
        <v>90</v>
      </c>
      <c r="F49" s="24" t="s">
        <v>97</v>
      </c>
      <c r="G49" s="24" t="s">
        <v>98</v>
      </c>
      <c r="H49" s="33">
        <v>1001</v>
      </c>
      <c r="I49" s="33">
        <v>2875613</v>
      </c>
      <c r="J49" s="24"/>
      <c r="K49" s="25"/>
      <c r="L49" s="25"/>
      <c r="M49" s="25"/>
      <c r="N49" s="26"/>
      <c r="O49" s="36" t="str">
        <f t="shared" si="2"/>
        <v/>
      </c>
      <c r="P49" s="27" t="str">
        <f t="shared" si="3"/>
        <v/>
      </c>
    </row>
    <row r="50" spans="1:16">
      <c r="A50" s="24" t="s">
        <v>128</v>
      </c>
      <c r="B50" s="24" t="s">
        <v>61</v>
      </c>
      <c r="C50" s="24" t="s">
        <v>129</v>
      </c>
      <c r="D50" s="24" t="s">
        <v>130</v>
      </c>
      <c r="E50" s="24" t="s">
        <v>64</v>
      </c>
      <c r="F50" s="24" t="s">
        <v>65</v>
      </c>
      <c r="G50" s="24" t="s">
        <v>66</v>
      </c>
      <c r="H50" s="33">
        <v>1000</v>
      </c>
      <c r="I50" s="33">
        <v>8566257</v>
      </c>
      <c r="J50" s="24"/>
      <c r="K50" s="25"/>
      <c r="L50" s="25"/>
      <c r="M50" s="25"/>
      <c r="N50" s="26"/>
      <c r="O50" s="36" t="str">
        <f t="shared" si="2"/>
        <v/>
      </c>
      <c r="P50" s="27" t="str">
        <f t="shared" si="3"/>
        <v/>
      </c>
    </row>
    <row r="51" spans="1:16">
      <c r="A51" s="24" t="s">
        <v>131</v>
      </c>
      <c r="B51" s="24" t="s">
        <v>61</v>
      </c>
      <c r="C51" s="24" t="s">
        <v>129</v>
      </c>
      <c r="D51" s="24" t="s">
        <v>130</v>
      </c>
      <c r="E51" s="24" t="s">
        <v>64</v>
      </c>
      <c r="F51" s="24" t="s">
        <v>65</v>
      </c>
      <c r="G51" s="24" t="s">
        <v>66</v>
      </c>
      <c r="H51" s="33">
        <v>1000</v>
      </c>
      <c r="I51" s="33">
        <v>2875613</v>
      </c>
      <c r="J51" s="24"/>
      <c r="K51" s="25"/>
      <c r="L51" s="25"/>
      <c r="M51" s="25"/>
      <c r="N51" s="26"/>
      <c r="O51" s="36" t="str">
        <f t="shared" si="2"/>
        <v/>
      </c>
      <c r="P51" s="27" t="str">
        <f t="shared" si="3"/>
        <v/>
      </c>
    </row>
    <row r="52" spans="1:16">
      <c r="A52" s="24" t="s">
        <v>132</v>
      </c>
      <c r="B52" s="24" t="s">
        <v>61</v>
      </c>
      <c r="C52" s="24" t="s">
        <v>129</v>
      </c>
      <c r="D52" s="24" t="s">
        <v>130</v>
      </c>
      <c r="E52" s="24" t="s">
        <v>64</v>
      </c>
      <c r="F52" s="24" t="s">
        <v>65</v>
      </c>
      <c r="G52" s="24" t="s">
        <v>66</v>
      </c>
      <c r="H52" s="33">
        <v>1001</v>
      </c>
      <c r="I52" s="33">
        <v>8566257</v>
      </c>
      <c r="J52" s="24"/>
      <c r="K52" s="25"/>
      <c r="L52" s="25"/>
      <c r="M52" s="25"/>
      <c r="N52" s="26"/>
      <c r="O52" s="36" t="str">
        <f t="shared" si="2"/>
        <v/>
      </c>
      <c r="P52" s="27" t="str">
        <f t="shared" si="3"/>
        <v/>
      </c>
    </row>
    <row r="53" spans="1:16">
      <c r="A53" s="24" t="s">
        <v>133</v>
      </c>
      <c r="B53" s="24" t="s">
        <v>61</v>
      </c>
      <c r="C53" s="24" t="s">
        <v>129</v>
      </c>
      <c r="D53" s="24" t="s">
        <v>130</v>
      </c>
      <c r="E53" s="24" t="s">
        <v>64</v>
      </c>
      <c r="F53" s="24" t="s">
        <v>65</v>
      </c>
      <c r="G53" s="24" t="s">
        <v>66</v>
      </c>
      <c r="H53" s="33">
        <v>1001</v>
      </c>
      <c r="I53" s="33">
        <v>2875613</v>
      </c>
      <c r="J53" s="24"/>
      <c r="K53" s="25"/>
      <c r="L53" s="25"/>
      <c r="M53" s="25"/>
      <c r="N53" s="26"/>
      <c r="O53" s="36" t="str">
        <f t="shared" si="2"/>
        <v/>
      </c>
      <c r="P53" s="27" t="str">
        <f t="shared" si="3"/>
        <v/>
      </c>
    </row>
    <row r="54" spans="1:16">
      <c r="A54" s="24" t="s">
        <v>134</v>
      </c>
      <c r="B54" s="24" t="s">
        <v>61</v>
      </c>
      <c r="C54" s="24" t="s">
        <v>129</v>
      </c>
      <c r="D54" s="24" t="s">
        <v>130</v>
      </c>
      <c r="E54" s="24" t="s">
        <v>64</v>
      </c>
      <c r="F54" s="24" t="s">
        <v>71</v>
      </c>
      <c r="G54" s="24" t="s">
        <v>72</v>
      </c>
      <c r="H54" s="33">
        <v>1000</v>
      </c>
      <c r="I54" s="33">
        <v>8566257</v>
      </c>
      <c r="J54" s="24"/>
      <c r="K54" s="25"/>
      <c r="L54" s="25"/>
      <c r="M54" s="25"/>
      <c r="N54" s="26"/>
      <c r="O54" s="36" t="str">
        <f t="shared" si="2"/>
        <v/>
      </c>
      <c r="P54" s="27" t="str">
        <f t="shared" si="3"/>
        <v/>
      </c>
    </row>
    <row r="55" spans="1:16">
      <c r="A55" s="24" t="s">
        <v>135</v>
      </c>
      <c r="B55" s="24" t="s">
        <v>61</v>
      </c>
      <c r="C55" s="24" t="s">
        <v>129</v>
      </c>
      <c r="D55" s="24" t="s">
        <v>130</v>
      </c>
      <c r="E55" s="24" t="s">
        <v>64</v>
      </c>
      <c r="F55" s="24" t="s">
        <v>71</v>
      </c>
      <c r="G55" s="24" t="s">
        <v>72</v>
      </c>
      <c r="H55" s="33">
        <v>1000</v>
      </c>
      <c r="I55" s="33">
        <v>2875613</v>
      </c>
      <c r="J55" s="24"/>
      <c r="K55" s="25"/>
      <c r="L55" s="25"/>
      <c r="M55" s="25"/>
      <c r="N55" s="26"/>
      <c r="O55" s="36" t="str">
        <f t="shared" si="2"/>
        <v/>
      </c>
      <c r="P55" s="27" t="str">
        <f t="shared" si="3"/>
        <v/>
      </c>
    </row>
    <row r="56" spans="1:16">
      <c r="A56" s="24" t="s">
        <v>136</v>
      </c>
      <c r="B56" s="24" t="s">
        <v>61</v>
      </c>
      <c r="C56" s="24" t="s">
        <v>129</v>
      </c>
      <c r="D56" s="24" t="s">
        <v>130</v>
      </c>
      <c r="E56" s="24" t="s">
        <v>64</v>
      </c>
      <c r="F56" s="24" t="s">
        <v>71</v>
      </c>
      <c r="G56" s="24" t="s">
        <v>72</v>
      </c>
      <c r="H56" s="33">
        <v>1001</v>
      </c>
      <c r="I56" s="33">
        <v>8566257</v>
      </c>
      <c r="J56" s="24"/>
      <c r="K56" s="25"/>
      <c r="L56" s="25"/>
      <c r="M56" s="25"/>
      <c r="N56" s="26"/>
      <c r="O56" s="36" t="str">
        <f t="shared" si="2"/>
        <v/>
      </c>
      <c r="P56" s="27" t="str">
        <f t="shared" si="3"/>
        <v/>
      </c>
    </row>
    <row r="57" spans="1:16">
      <c r="A57" s="24" t="s">
        <v>137</v>
      </c>
      <c r="B57" s="24" t="s">
        <v>61</v>
      </c>
      <c r="C57" s="24" t="s">
        <v>129</v>
      </c>
      <c r="D57" s="24" t="s">
        <v>130</v>
      </c>
      <c r="E57" s="24" t="s">
        <v>64</v>
      </c>
      <c r="F57" s="24" t="s">
        <v>71</v>
      </c>
      <c r="G57" s="24" t="s">
        <v>72</v>
      </c>
      <c r="H57" s="33">
        <v>1001</v>
      </c>
      <c r="I57" s="33">
        <v>2875613</v>
      </c>
      <c r="J57" s="24"/>
      <c r="K57" s="25"/>
      <c r="L57" s="25"/>
      <c r="M57" s="25"/>
      <c r="N57" s="26"/>
      <c r="O57" s="36" t="str">
        <f t="shared" si="2"/>
        <v/>
      </c>
      <c r="P57" s="27" t="str">
        <f t="shared" si="3"/>
        <v/>
      </c>
    </row>
    <row r="58" spans="1:16">
      <c r="A58" s="24" t="s">
        <v>138</v>
      </c>
      <c r="B58" s="24" t="s">
        <v>61</v>
      </c>
      <c r="C58" s="24" t="s">
        <v>129</v>
      </c>
      <c r="D58" s="24" t="s">
        <v>130</v>
      </c>
      <c r="E58" s="24" t="s">
        <v>77</v>
      </c>
      <c r="F58" s="24" t="s">
        <v>78</v>
      </c>
      <c r="G58" s="24" t="s">
        <v>79</v>
      </c>
      <c r="H58" s="33">
        <v>1000</v>
      </c>
      <c r="I58" s="33">
        <v>8566257</v>
      </c>
      <c r="J58" s="24"/>
      <c r="K58" s="25"/>
      <c r="L58" s="25"/>
      <c r="M58" s="25"/>
      <c r="N58" s="26"/>
      <c r="O58" s="36" t="str">
        <f t="shared" si="2"/>
        <v/>
      </c>
      <c r="P58" s="27" t="str">
        <f t="shared" si="3"/>
        <v/>
      </c>
    </row>
    <row r="59" spans="1:16">
      <c r="A59" s="24" t="s">
        <v>139</v>
      </c>
      <c r="B59" s="24" t="s">
        <v>61</v>
      </c>
      <c r="C59" s="24" t="s">
        <v>129</v>
      </c>
      <c r="D59" s="24" t="s">
        <v>130</v>
      </c>
      <c r="E59" s="24" t="s">
        <v>77</v>
      </c>
      <c r="F59" s="24" t="s">
        <v>78</v>
      </c>
      <c r="G59" s="24" t="s">
        <v>79</v>
      </c>
      <c r="H59" s="33">
        <v>1000</v>
      </c>
      <c r="I59" s="33">
        <v>2875613</v>
      </c>
      <c r="J59" s="24"/>
      <c r="K59" s="25"/>
      <c r="L59" s="25"/>
      <c r="M59" s="25"/>
      <c r="N59" s="26"/>
      <c r="O59" s="36" t="str">
        <f t="shared" si="2"/>
        <v/>
      </c>
      <c r="P59" s="27" t="str">
        <f t="shared" si="3"/>
        <v/>
      </c>
    </row>
    <row r="60" spans="1:16">
      <c r="A60" s="24" t="s">
        <v>140</v>
      </c>
      <c r="B60" s="24" t="s">
        <v>61</v>
      </c>
      <c r="C60" s="24" t="s">
        <v>129</v>
      </c>
      <c r="D60" s="24" t="s">
        <v>130</v>
      </c>
      <c r="E60" s="24" t="s">
        <v>77</v>
      </c>
      <c r="F60" s="24" t="s">
        <v>78</v>
      </c>
      <c r="G60" s="24" t="s">
        <v>79</v>
      </c>
      <c r="H60" s="33">
        <v>1001</v>
      </c>
      <c r="I60" s="33">
        <v>8566257</v>
      </c>
      <c r="J60" s="24"/>
      <c r="K60" s="25"/>
      <c r="L60" s="25"/>
      <c r="M60" s="25"/>
      <c r="N60" s="26"/>
      <c r="O60" s="36" t="str">
        <f t="shared" si="2"/>
        <v/>
      </c>
      <c r="P60" s="27" t="str">
        <f t="shared" si="3"/>
        <v/>
      </c>
    </row>
    <row r="61" spans="1:16">
      <c r="A61" s="24" t="s">
        <v>141</v>
      </c>
      <c r="B61" s="24" t="s">
        <v>61</v>
      </c>
      <c r="C61" s="24" t="s">
        <v>129</v>
      </c>
      <c r="D61" s="24" t="s">
        <v>130</v>
      </c>
      <c r="E61" s="24" t="s">
        <v>77</v>
      </c>
      <c r="F61" s="24" t="s">
        <v>78</v>
      </c>
      <c r="G61" s="24" t="s">
        <v>79</v>
      </c>
      <c r="H61" s="33">
        <v>1001</v>
      </c>
      <c r="I61" s="33">
        <v>2875613</v>
      </c>
      <c r="J61" s="24"/>
      <c r="K61" s="25"/>
      <c r="L61" s="25"/>
      <c r="M61" s="25"/>
      <c r="N61" s="26"/>
      <c r="O61" s="36" t="str">
        <f t="shared" si="2"/>
        <v/>
      </c>
      <c r="P61" s="27" t="str">
        <f t="shared" si="3"/>
        <v/>
      </c>
    </row>
    <row r="62" spans="1:16">
      <c r="A62" s="24" t="s">
        <v>142</v>
      </c>
      <c r="B62" s="24" t="s">
        <v>61</v>
      </c>
      <c r="C62" s="24" t="s">
        <v>129</v>
      </c>
      <c r="D62" s="24" t="s">
        <v>130</v>
      </c>
      <c r="E62" s="24" t="s">
        <v>77</v>
      </c>
      <c r="F62" s="24" t="s">
        <v>84</v>
      </c>
      <c r="G62" s="24" t="s">
        <v>85</v>
      </c>
      <c r="H62" s="33">
        <v>1000</v>
      </c>
      <c r="I62" s="33">
        <v>8566257</v>
      </c>
      <c r="J62" s="24"/>
      <c r="K62" s="25"/>
      <c r="L62" s="25"/>
      <c r="M62" s="25"/>
      <c r="N62" s="26"/>
      <c r="O62" s="36" t="str">
        <f t="shared" si="2"/>
        <v/>
      </c>
      <c r="P62" s="27" t="str">
        <f t="shared" si="3"/>
        <v/>
      </c>
    </row>
    <row r="63" spans="1:16">
      <c r="A63" s="24" t="s">
        <v>143</v>
      </c>
      <c r="B63" s="24" t="s">
        <v>61</v>
      </c>
      <c r="C63" s="24" t="s">
        <v>129</v>
      </c>
      <c r="D63" s="24" t="s">
        <v>130</v>
      </c>
      <c r="E63" s="24" t="s">
        <v>77</v>
      </c>
      <c r="F63" s="24" t="s">
        <v>84</v>
      </c>
      <c r="G63" s="24" t="s">
        <v>85</v>
      </c>
      <c r="H63" s="33">
        <v>1000</v>
      </c>
      <c r="I63" s="33">
        <v>2875613</v>
      </c>
      <c r="J63" s="24"/>
      <c r="K63" s="25"/>
      <c r="L63" s="25"/>
      <c r="M63" s="25"/>
      <c r="N63" s="26"/>
      <c r="O63" s="36" t="str">
        <f t="shared" si="2"/>
        <v/>
      </c>
      <c r="P63" s="27" t="str">
        <f t="shared" si="3"/>
        <v/>
      </c>
    </row>
    <row r="64" spans="1:16">
      <c r="A64" s="24" t="s">
        <v>144</v>
      </c>
      <c r="B64" s="24" t="s">
        <v>61</v>
      </c>
      <c r="C64" s="24" t="s">
        <v>129</v>
      </c>
      <c r="D64" s="24" t="s">
        <v>130</v>
      </c>
      <c r="E64" s="24" t="s">
        <v>77</v>
      </c>
      <c r="F64" s="24" t="s">
        <v>84</v>
      </c>
      <c r="G64" s="24" t="s">
        <v>85</v>
      </c>
      <c r="H64" s="33">
        <v>1001</v>
      </c>
      <c r="I64" s="33">
        <v>8566257</v>
      </c>
      <c r="J64" s="24"/>
      <c r="K64" s="25"/>
      <c r="L64" s="25"/>
      <c r="M64" s="25"/>
      <c r="N64" s="26"/>
      <c r="O64" s="36" t="str">
        <f t="shared" si="2"/>
        <v/>
      </c>
      <c r="P64" s="27" t="str">
        <f t="shared" si="3"/>
        <v/>
      </c>
    </row>
    <row r="65" spans="1:16">
      <c r="A65" s="24" t="s">
        <v>145</v>
      </c>
      <c r="B65" s="24" t="s">
        <v>61</v>
      </c>
      <c r="C65" s="24" t="s">
        <v>129</v>
      </c>
      <c r="D65" s="24" t="s">
        <v>130</v>
      </c>
      <c r="E65" s="24" t="s">
        <v>77</v>
      </c>
      <c r="F65" s="24" t="s">
        <v>84</v>
      </c>
      <c r="G65" s="24" t="s">
        <v>85</v>
      </c>
      <c r="H65" s="33">
        <v>1001</v>
      </c>
      <c r="I65" s="33">
        <v>2875613</v>
      </c>
      <c r="J65" s="24"/>
      <c r="K65" s="25"/>
      <c r="L65" s="25"/>
      <c r="M65" s="25"/>
      <c r="N65" s="26"/>
      <c r="O65" s="36" t="str">
        <f t="shared" si="2"/>
        <v/>
      </c>
      <c r="P65" s="27" t="str">
        <f t="shared" si="3"/>
        <v/>
      </c>
    </row>
    <row r="66" spans="1:16">
      <c r="A66" s="24" t="s">
        <v>146</v>
      </c>
      <c r="B66" s="24" t="s">
        <v>61</v>
      </c>
      <c r="C66" s="24" t="s">
        <v>129</v>
      </c>
      <c r="D66" s="24" t="s">
        <v>130</v>
      </c>
      <c r="E66" s="24" t="s">
        <v>90</v>
      </c>
      <c r="F66" s="24" t="s">
        <v>91</v>
      </c>
      <c r="G66" s="24" t="s">
        <v>92</v>
      </c>
      <c r="H66" s="33">
        <v>1000</v>
      </c>
      <c r="I66" s="33">
        <v>8566257</v>
      </c>
      <c r="J66" s="24"/>
      <c r="K66" s="25"/>
      <c r="L66" s="25"/>
      <c r="M66" s="25"/>
      <c r="N66" s="26"/>
      <c r="O66" s="36" t="str">
        <f t="shared" ref="O66:O97" si="4">IF(OR(K66="",N66=""),"",IF(N66="invalid",0,--(K66=N66)))</f>
        <v/>
      </c>
      <c r="P66" s="27" t="str">
        <f t="shared" ref="P66:P97" si="5">IF(OR(K66="",N66=""),"",IF(N66="invalid","invalid",IF(K66=N66,"agreement",IF(AND(K66="no",N66="yes"),"false_accept","false_reject"))))</f>
        <v/>
      </c>
    </row>
    <row r="67" spans="1:16">
      <c r="A67" s="24" t="s">
        <v>147</v>
      </c>
      <c r="B67" s="24" t="s">
        <v>61</v>
      </c>
      <c r="C67" s="24" t="s">
        <v>129</v>
      </c>
      <c r="D67" s="24" t="s">
        <v>130</v>
      </c>
      <c r="E67" s="24" t="s">
        <v>90</v>
      </c>
      <c r="F67" s="24" t="s">
        <v>91</v>
      </c>
      <c r="G67" s="24" t="s">
        <v>92</v>
      </c>
      <c r="H67" s="33">
        <v>1000</v>
      </c>
      <c r="I67" s="33">
        <v>2875613</v>
      </c>
      <c r="J67" s="24"/>
      <c r="K67" s="25"/>
      <c r="L67" s="25"/>
      <c r="M67" s="25"/>
      <c r="N67" s="26"/>
      <c r="O67" s="36" t="str">
        <f t="shared" si="4"/>
        <v/>
      </c>
      <c r="P67" s="27" t="str">
        <f t="shared" si="5"/>
        <v/>
      </c>
    </row>
    <row r="68" spans="1:16">
      <c r="A68" s="24" t="s">
        <v>148</v>
      </c>
      <c r="B68" s="24" t="s">
        <v>61</v>
      </c>
      <c r="C68" s="24" t="s">
        <v>129</v>
      </c>
      <c r="D68" s="24" t="s">
        <v>130</v>
      </c>
      <c r="E68" s="24" t="s">
        <v>90</v>
      </c>
      <c r="F68" s="24" t="s">
        <v>91</v>
      </c>
      <c r="G68" s="24" t="s">
        <v>92</v>
      </c>
      <c r="H68" s="33">
        <v>1001</v>
      </c>
      <c r="I68" s="33">
        <v>8566257</v>
      </c>
      <c r="J68" s="24"/>
      <c r="K68" s="25"/>
      <c r="L68" s="25"/>
      <c r="M68" s="25"/>
      <c r="N68" s="26"/>
      <c r="O68" s="36" t="str">
        <f t="shared" si="4"/>
        <v/>
      </c>
      <c r="P68" s="27" t="str">
        <f t="shared" si="5"/>
        <v/>
      </c>
    </row>
    <row r="69" spans="1:16">
      <c r="A69" s="24" t="s">
        <v>149</v>
      </c>
      <c r="B69" s="24" t="s">
        <v>61</v>
      </c>
      <c r="C69" s="24" t="s">
        <v>129</v>
      </c>
      <c r="D69" s="24" t="s">
        <v>130</v>
      </c>
      <c r="E69" s="24" t="s">
        <v>90</v>
      </c>
      <c r="F69" s="24" t="s">
        <v>91</v>
      </c>
      <c r="G69" s="24" t="s">
        <v>92</v>
      </c>
      <c r="H69" s="33">
        <v>1001</v>
      </c>
      <c r="I69" s="33">
        <v>2875613</v>
      </c>
      <c r="J69" s="24"/>
      <c r="K69" s="25"/>
      <c r="L69" s="25"/>
      <c r="M69" s="25"/>
      <c r="N69" s="26"/>
      <c r="O69" s="36" t="str">
        <f t="shared" si="4"/>
        <v/>
      </c>
      <c r="P69" s="27" t="str">
        <f t="shared" si="5"/>
        <v/>
      </c>
    </row>
    <row r="70" spans="1:16">
      <c r="A70" s="24" t="s">
        <v>150</v>
      </c>
      <c r="B70" s="24" t="s">
        <v>61</v>
      </c>
      <c r="C70" s="24" t="s">
        <v>129</v>
      </c>
      <c r="D70" s="24" t="s">
        <v>130</v>
      </c>
      <c r="E70" s="24" t="s">
        <v>90</v>
      </c>
      <c r="F70" s="24" t="s">
        <v>97</v>
      </c>
      <c r="G70" s="24" t="s">
        <v>98</v>
      </c>
      <c r="H70" s="33">
        <v>1000</v>
      </c>
      <c r="I70" s="33">
        <v>8566257</v>
      </c>
      <c r="J70" s="24"/>
      <c r="K70" s="25"/>
      <c r="L70" s="25"/>
      <c r="M70" s="25"/>
      <c r="N70" s="26"/>
      <c r="O70" s="36" t="str">
        <f t="shared" si="4"/>
        <v/>
      </c>
      <c r="P70" s="27" t="str">
        <f t="shared" si="5"/>
        <v/>
      </c>
    </row>
    <row r="71" spans="1:16">
      <c r="A71" s="24" t="s">
        <v>151</v>
      </c>
      <c r="B71" s="24" t="s">
        <v>61</v>
      </c>
      <c r="C71" s="24" t="s">
        <v>129</v>
      </c>
      <c r="D71" s="24" t="s">
        <v>130</v>
      </c>
      <c r="E71" s="24" t="s">
        <v>90</v>
      </c>
      <c r="F71" s="24" t="s">
        <v>97</v>
      </c>
      <c r="G71" s="24" t="s">
        <v>98</v>
      </c>
      <c r="H71" s="33">
        <v>1000</v>
      </c>
      <c r="I71" s="33">
        <v>2875613</v>
      </c>
      <c r="J71" s="24"/>
      <c r="K71" s="25"/>
      <c r="L71" s="25"/>
      <c r="M71" s="25"/>
      <c r="N71" s="26"/>
      <c r="O71" s="36" t="str">
        <f t="shared" si="4"/>
        <v/>
      </c>
      <c r="P71" s="27" t="str">
        <f t="shared" si="5"/>
        <v/>
      </c>
    </row>
    <row r="72" spans="1:16">
      <c r="A72" s="24" t="s">
        <v>152</v>
      </c>
      <c r="B72" s="24" t="s">
        <v>61</v>
      </c>
      <c r="C72" s="24" t="s">
        <v>129</v>
      </c>
      <c r="D72" s="24" t="s">
        <v>130</v>
      </c>
      <c r="E72" s="24" t="s">
        <v>90</v>
      </c>
      <c r="F72" s="24" t="s">
        <v>97</v>
      </c>
      <c r="G72" s="24" t="s">
        <v>98</v>
      </c>
      <c r="H72" s="33">
        <v>1001</v>
      </c>
      <c r="I72" s="33">
        <v>8566257</v>
      </c>
      <c r="J72" s="24"/>
      <c r="K72" s="25"/>
      <c r="L72" s="25"/>
      <c r="M72" s="25"/>
      <c r="N72" s="26"/>
      <c r="O72" s="36" t="str">
        <f t="shared" si="4"/>
        <v/>
      </c>
      <c r="P72" s="27" t="str">
        <f t="shared" si="5"/>
        <v/>
      </c>
    </row>
    <row r="73" spans="1:16">
      <c r="A73" s="24" t="s">
        <v>153</v>
      </c>
      <c r="B73" s="24" t="s">
        <v>61</v>
      </c>
      <c r="C73" s="24" t="s">
        <v>129</v>
      </c>
      <c r="D73" s="24" t="s">
        <v>130</v>
      </c>
      <c r="E73" s="24" t="s">
        <v>90</v>
      </c>
      <c r="F73" s="24" t="s">
        <v>97</v>
      </c>
      <c r="G73" s="24" t="s">
        <v>98</v>
      </c>
      <c r="H73" s="33">
        <v>1001</v>
      </c>
      <c r="I73" s="33">
        <v>2875613</v>
      </c>
      <c r="J73" s="24"/>
      <c r="K73" s="25"/>
      <c r="L73" s="25"/>
      <c r="M73" s="25"/>
      <c r="N73" s="26"/>
      <c r="O73" s="36" t="str">
        <f t="shared" si="4"/>
        <v/>
      </c>
      <c r="P73" s="27" t="str">
        <f t="shared" si="5"/>
        <v/>
      </c>
    </row>
    <row r="74" spans="1:16">
      <c r="A74" s="24" t="s">
        <v>154</v>
      </c>
      <c r="B74" s="24" t="s">
        <v>61</v>
      </c>
      <c r="C74" s="24" t="s">
        <v>155</v>
      </c>
      <c r="D74" s="24" t="s">
        <v>156</v>
      </c>
      <c r="E74" s="24" t="s">
        <v>64</v>
      </c>
      <c r="F74" s="24" t="s">
        <v>65</v>
      </c>
      <c r="G74" s="24" t="s">
        <v>66</v>
      </c>
      <c r="H74" s="33">
        <v>1000</v>
      </c>
      <c r="I74" s="33">
        <v>8566257</v>
      </c>
      <c r="J74" s="24"/>
      <c r="K74" s="25"/>
      <c r="L74" s="25"/>
      <c r="M74" s="25"/>
      <c r="N74" s="26"/>
      <c r="O74" s="36" t="str">
        <f t="shared" si="4"/>
        <v/>
      </c>
      <c r="P74" s="27" t="str">
        <f t="shared" si="5"/>
        <v/>
      </c>
    </row>
    <row r="75" spans="1:16">
      <c r="A75" s="24" t="s">
        <v>157</v>
      </c>
      <c r="B75" s="24" t="s">
        <v>61</v>
      </c>
      <c r="C75" s="24" t="s">
        <v>155</v>
      </c>
      <c r="D75" s="24" t="s">
        <v>156</v>
      </c>
      <c r="E75" s="24" t="s">
        <v>64</v>
      </c>
      <c r="F75" s="24" t="s">
        <v>65</v>
      </c>
      <c r="G75" s="24" t="s">
        <v>66</v>
      </c>
      <c r="H75" s="33">
        <v>1000</v>
      </c>
      <c r="I75" s="33">
        <v>2875613</v>
      </c>
      <c r="J75" s="24"/>
      <c r="K75" s="25"/>
      <c r="L75" s="25"/>
      <c r="M75" s="25"/>
      <c r="N75" s="26"/>
      <c r="O75" s="36" t="str">
        <f t="shared" si="4"/>
        <v/>
      </c>
      <c r="P75" s="27" t="str">
        <f t="shared" si="5"/>
        <v/>
      </c>
    </row>
    <row r="76" spans="1:16">
      <c r="A76" s="24" t="s">
        <v>158</v>
      </c>
      <c r="B76" s="24" t="s">
        <v>61</v>
      </c>
      <c r="C76" s="24" t="s">
        <v>155</v>
      </c>
      <c r="D76" s="24" t="s">
        <v>156</v>
      </c>
      <c r="E76" s="24" t="s">
        <v>64</v>
      </c>
      <c r="F76" s="24" t="s">
        <v>65</v>
      </c>
      <c r="G76" s="24" t="s">
        <v>66</v>
      </c>
      <c r="H76" s="33">
        <v>1001</v>
      </c>
      <c r="I76" s="33">
        <v>8566257</v>
      </c>
      <c r="J76" s="24"/>
      <c r="K76" s="25"/>
      <c r="L76" s="25"/>
      <c r="M76" s="25"/>
      <c r="N76" s="26"/>
      <c r="O76" s="36" t="str">
        <f t="shared" si="4"/>
        <v/>
      </c>
      <c r="P76" s="27" t="str">
        <f t="shared" si="5"/>
        <v/>
      </c>
    </row>
    <row r="77" spans="1:16">
      <c r="A77" s="24" t="s">
        <v>159</v>
      </c>
      <c r="B77" s="24" t="s">
        <v>61</v>
      </c>
      <c r="C77" s="24" t="s">
        <v>155</v>
      </c>
      <c r="D77" s="24" t="s">
        <v>156</v>
      </c>
      <c r="E77" s="24" t="s">
        <v>64</v>
      </c>
      <c r="F77" s="24" t="s">
        <v>65</v>
      </c>
      <c r="G77" s="24" t="s">
        <v>66</v>
      </c>
      <c r="H77" s="33">
        <v>1001</v>
      </c>
      <c r="I77" s="33">
        <v>2875613</v>
      </c>
      <c r="J77" s="24"/>
      <c r="K77" s="25"/>
      <c r="L77" s="25"/>
      <c r="M77" s="25"/>
      <c r="N77" s="26"/>
      <c r="O77" s="36" t="str">
        <f t="shared" si="4"/>
        <v/>
      </c>
      <c r="P77" s="27" t="str">
        <f t="shared" si="5"/>
        <v/>
      </c>
    </row>
    <row r="78" spans="1:16">
      <c r="A78" s="24" t="s">
        <v>160</v>
      </c>
      <c r="B78" s="24" t="s">
        <v>61</v>
      </c>
      <c r="C78" s="24" t="s">
        <v>155</v>
      </c>
      <c r="D78" s="24" t="s">
        <v>156</v>
      </c>
      <c r="E78" s="24" t="s">
        <v>64</v>
      </c>
      <c r="F78" s="24" t="s">
        <v>71</v>
      </c>
      <c r="G78" s="24" t="s">
        <v>72</v>
      </c>
      <c r="H78" s="33">
        <v>1000</v>
      </c>
      <c r="I78" s="33">
        <v>8566257</v>
      </c>
      <c r="J78" s="24"/>
      <c r="K78" s="25"/>
      <c r="L78" s="25"/>
      <c r="M78" s="25"/>
      <c r="N78" s="26"/>
      <c r="O78" s="36" t="str">
        <f t="shared" si="4"/>
        <v/>
      </c>
      <c r="P78" s="27" t="str">
        <f t="shared" si="5"/>
        <v/>
      </c>
    </row>
    <row r="79" spans="1:16">
      <c r="A79" s="24" t="s">
        <v>161</v>
      </c>
      <c r="B79" s="24" t="s">
        <v>61</v>
      </c>
      <c r="C79" s="24" t="s">
        <v>155</v>
      </c>
      <c r="D79" s="24" t="s">
        <v>156</v>
      </c>
      <c r="E79" s="24" t="s">
        <v>64</v>
      </c>
      <c r="F79" s="24" t="s">
        <v>71</v>
      </c>
      <c r="G79" s="24" t="s">
        <v>72</v>
      </c>
      <c r="H79" s="33">
        <v>1000</v>
      </c>
      <c r="I79" s="33">
        <v>2875613</v>
      </c>
      <c r="J79" s="24"/>
      <c r="K79" s="25"/>
      <c r="L79" s="25"/>
      <c r="M79" s="25"/>
      <c r="N79" s="26"/>
      <c r="O79" s="36" t="str">
        <f t="shared" si="4"/>
        <v/>
      </c>
      <c r="P79" s="27" t="str">
        <f t="shared" si="5"/>
        <v/>
      </c>
    </row>
    <row r="80" spans="1:16">
      <c r="A80" s="24" t="s">
        <v>162</v>
      </c>
      <c r="B80" s="24" t="s">
        <v>61</v>
      </c>
      <c r="C80" s="24" t="s">
        <v>155</v>
      </c>
      <c r="D80" s="24" t="s">
        <v>156</v>
      </c>
      <c r="E80" s="24" t="s">
        <v>64</v>
      </c>
      <c r="F80" s="24" t="s">
        <v>71</v>
      </c>
      <c r="G80" s="24" t="s">
        <v>72</v>
      </c>
      <c r="H80" s="33">
        <v>1001</v>
      </c>
      <c r="I80" s="33">
        <v>8566257</v>
      </c>
      <c r="J80" s="24"/>
      <c r="K80" s="25"/>
      <c r="L80" s="25"/>
      <c r="M80" s="25"/>
      <c r="N80" s="26"/>
      <c r="O80" s="36" t="str">
        <f t="shared" si="4"/>
        <v/>
      </c>
      <c r="P80" s="27" t="str">
        <f t="shared" si="5"/>
        <v/>
      </c>
    </row>
    <row r="81" spans="1:16">
      <c r="A81" s="24" t="s">
        <v>163</v>
      </c>
      <c r="B81" s="24" t="s">
        <v>61</v>
      </c>
      <c r="C81" s="24" t="s">
        <v>155</v>
      </c>
      <c r="D81" s="24" t="s">
        <v>156</v>
      </c>
      <c r="E81" s="24" t="s">
        <v>64</v>
      </c>
      <c r="F81" s="24" t="s">
        <v>71</v>
      </c>
      <c r="G81" s="24" t="s">
        <v>72</v>
      </c>
      <c r="H81" s="33">
        <v>1001</v>
      </c>
      <c r="I81" s="33">
        <v>2875613</v>
      </c>
      <c r="J81" s="24"/>
      <c r="K81" s="25"/>
      <c r="L81" s="25"/>
      <c r="M81" s="25"/>
      <c r="N81" s="26"/>
      <c r="O81" s="36" t="str">
        <f t="shared" si="4"/>
        <v/>
      </c>
      <c r="P81" s="27" t="str">
        <f t="shared" si="5"/>
        <v/>
      </c>
    </row>
    <row r="82" spans="1:16">
      <c r="A82" s="24" t="s">
        <v>164</v>
      </c>
      <c r="B82" s="24" t="s">
        <v>61</v>
      </c>
      <c r="C82" s="24" t="s">
        <v>155</v>
      </c>
      <c r="D82" s="24" t="s">
        <v>156</v>
      </c>
      <c r="E82" s="24" t="s">
        <v>77</v>
      </c>
      <c r="F82" s="24" t="s">
        <v>78</v>
      </c>
      <c r="G82" s="24" t="s">
        <v>79</v>
      </c>
      <c r="H82" s="33">
        <v>1000</v>
      </c>
      <c r="I82" s="33">
        <v>8566257</v>
      </c>
      <c r="J82" s="24"/>
      <c r="K82" s="25"/>
      <c r="L82" s="25"/>
      <c r="M82" s="25"/>
      <c r="N82" s="26"/>
      <c r="O82" s="36" t="str">
        <f t="shared" si="4"/>
        <v/>
      </c>
      <c r="P82" s="27" t="str">
        <f t="shared" si="5"/>
        <v/>
      </c>
    </row>
    <row r="83" spans="1:16">
      <c r="A83" s="24" t="s">
        <v>165</v>
      </c>
      <c r="B83" s="24" t="s">
        <v>61</v>
      </c>
      <c r="C83" s="24" t="s">
        <v>155</v>
      </c>
      <c r="D83" s="24" t="s">
        <v>156</v>
      </c>
      <c r="E83" s="24" t="s">
        <v>77</v>
      </c>
      <c r="F83" s="24" t="s">
        <v>78</v>
      </c>
      <c r="G83" s="24" t="s">
        <v>79</v>
      </c>
      <c r="H83" s="33">
        <v>1000</v>
      </c>
      <c r="I83" s="33">
        <v>2875613</v>
      </c>
      <c r="J83" s="24"/>
      <c r="K83" s="25"/>
      <c r="L83" s="25"/>
      <c r="M83" s="25"/>
      <c r="N83" s="26"/>
      <c r="O83" s="36" t="str">
        <f t="shared" si="4"/>
        <v/>
      </c>
      <c r="P83" s="27" t="str">
        <f t="shared" si="5"/>
        <v/>
      </c>
    </row>
    <row r="84" spans="1:16">
      <c r="A84" s="24" t="s">
        <v>166</v>
      </c>
      <c r="B84" s="24" t="s">
        <v>61</v>
      </c>
      <c r="C84" s="24" t="s">
        <v>155</v>
      </c>
      <c r="D84" s="24" t="s">
        <v>156</v>
      </c>
      <c r="E84" s="24" t="s">
        <v>77</v>
      </c>
      <c r="F84" s="24" t="s">
        <v>78</v>
      </c>
      <c r="G84" s="24" t="s">
        <v>79</v>
      </c>
      <c r="H84" s="33">
        <v>1001</v>
      </c>
      <c r="I84" s="33">
        <v>8566257</v>
      </c>
      <c r="J84" s="24"/>
      <c r="K84" s="25"/>
      <c r="L84" s="25"/>
      <c r="M84" s="25"/>
      <c r="N84" s="26"/>
      <c r="O84" s="36" t="str">
        <f t="shared" si="4"/>
        <v/>
      </c>
      <c r="P84" s="27" t="str">
        <f t="shared" si="5"/>
        <v/>
      </c>
    </row>
    <row r="85" spans="1:16">
      <c r="A85" s="24" t="s">
        <v>167</v>
      </c>
      <c r="B85" s="24" t="s">
        <v>61</v>
      </c>
      <c r="C85" s="24" t="s">
        <v>155</v>
      </c>
      <c r="D85" s="24" t="s">
        <v>156</v>
      </c>
      <c r="E85" s="24" t="s">
        <v>77</v>
      </c>
      <c r="F85" s="24" t="s">
        <v>78</v>
      </c>
      <c r="G85" s="24" t="s">
        <v>79</v>
      </c>
      <c r="H85" s="33">
        <v>1001</v>
      </c>
      <c r="I85" s="33">
        <v>2875613</v>
      </c>
      <c r="J85" s="24"/>
      <c r="K85" s="25"/>
      <c r="L85" s="25"/>
      <c r="M85" s="25"/>
      <c r="N85" s="26"/>
      <c r="O85" s="36" t="str">
        <f t="shared" si="4"/>
        <v/>
      </c>
      <c r="P85" s="27" t="str">
        <f t="shared" si="5"/>
        <v/>
      </c>
    </row>
    <row r="86" spans="1:16">
      <c r="A86" s="24" t="s">
        <v>168</v>
      </c>
      <c r="B86" s="24" t="s">
        <v>61</v>
      </c>
      <c r="C86" s="24" t="s">
        <v>155</v>
      </c>
      <c r="D86" s="24" t="s">
        <v>156</v>
      </c>
      <c r="E86" s="24" t="s">
        <v>77</v>
      </c>
      <c r="F86" s="24" t="s">
        <v>84</v>
      </c>
      <c r="G86" s="24" t="s">
        <v>85</v>
      </c>
      <c r="H86" s="33">
        <v>1000</v>
      </c>
      <c r="I86" s="33">
        <v>8566257</v>
      </c>
      <c r="J86" s="24"/>
      <c r="K86" s="25"/>
      <c r="L86" s="25"/>
      <c r="M86" s="25"/>
      <c r="N86" s="26"/>
      <c r="O86" s="36" t="str">
        <f t="shared" si="4"/>
        <v/>
      </c>
      <c r="P86" s="27" t="str">
        <f t="shared" si="5"/>
        <v/>
      </c>
    </row>
    <row r="87" spans="1:16">
      <c r="A87" s="24" t="s">
        <v>169</v>
      </c>
      <c r="B87" s="24" t="s">
        <v>61</v>
      </c>
      <c r="C87" s="24" t="s">
        <v>155</v>
      </c>
      <c r="D87" s="24" t="s">
        <v>156</v>
      </c>
      <c r="E87" s="24" t="s">
        <v>77</v>
      </c>
      <c r="F87" s="24" t="s">
        <v>84</v>
      </c>
      <c r="G87" s="24" t="s">
        <v>85</v>
      </c>
      <c r="H87" s="33">
        <v>1000</v>
      </c>
      <c r="I87" s="33">
        <v>2875613</v>
      </c>
      <c r="J87" s="24"/>
      <c r="K87" s="25"/>
      <c r="L87" s="25"/>
      <c r="M87" s="25"/>
      <c r="N87" s="26"/>
      <c r="O87" s="36" t="str">
        <f t="shared" si="4"/>
        <v/>
      </c>
      <c r="P87" s="27" t="str">
        <f t="shared" si="5"/>
        <v/>
      </c>
    </row>
    <row r="88" spans="1:16">
      <c r="A88" s="24" t="s">
        <v>170</v>
      </c>
      <c r="B88" s="24" t="s">
        <v>61</v>
      </c>
      <c r="C88" s="24" t="s">
        <v>155</v>
      </c>
      <c r="D88" s="24" t="s">
        <v>156</v>
      </c>
      <c r="E88" s="24" t="s">
        <v>77</v>
      </c>
      <c r="F88" s="24" t="s">
        <v>84</v>
      </c>
      <c r="G88" s="24" t="s">
        <v>85</v>
      </c>
      <c r="H88" s="33">
        <v>1001</v>
      </c>
      <c r="I88" s="33">
        <v>8566257</v>
      </c>
      <c r="J88" s="24"/>
      <c r="K88" s="25"/>
      <c r="L88" s="25"/>
      <c r="M88" s="25"/>
      <c r="N88" s="26"/>
      <c r="O88" s="36" t="str">
        <f t="shared" si="4"/>
        <v/>
      </c>
      <c r="P88" s="27" t="str">
        <f t="shared" si="5"/>
        <v/>
      </c>
    </row>
    <row r="89" spans="1:16">
      <c r="A89" s="24" t="s">
        <v>171</v>
      </c>
      <c r="B89" s="24" t="s">
        <v>61</v>
      </c>
      <c r="C89" s="24" t="s">
        <v>155</v>
      </c>
      <c r="D89" s="24" t="s">
        <v>156</v>
      </c>
      <c r="E89" s="24" t="s">
        <v>77</v>
      </c>
      <c r="F89" s="24" t="s">
        <v>84</v>
      </c>
      <c r="G89" s="24" t="s">
        <v>85</v>
      </c>
      <c r="H89" s="33">
        <v>1001</v>
      </c>
      <c r="I89" s="33">
        <v>2875613</v>
      </c>
      <c r="J89" s="24"/>
      <c r="K89" s="25"/>
      <c r="L89" s="25"/>
      <c r="M89" s="25"/>
      <c r="N89" s="26"/>
      <c r="O89" s="36" t="str">
        <f t="shared" si="4"/>
        <v/>
      </c>
      <c r="P89" s="27" t="str">
        <f t="shared" si="5"/>
        <v/>
      </c>
    </row>
    <row r="90" spans="1:16">
      <c r="A90" s="24" t="s">
        <v>172</v>
      </c>
      <c r="B90" s="24" t="s">
        <v>61</v>
      </c>
      <c r="C90" s="24" t="s">
        <v>155</v>
      </c>
      <c r="D90" s="24" t="s">
        <v>156</v>
      </c>
      <c r="E90" s="24" t="s">
        <v>90</v>
      </c>
      <c r="F90" s="24" t="s">
        <v>91</v>
      </c>
      <c r="G90" s="24" t="s">
        <v>92</v>
      </c>
      <c r="H90" s="33">
        <v>1000</v>
      </c>
      <c r="I90" s="33">
        <v>8566257</v>
      </c>
      <c r="J90" s="24"/>
      <c r="K90" s="25"/>
      <c r="L90" s="25"/>
      <c r="M90" s="25"/>
      <c r="N90" s="26"/>
      <c r="O90" s="36" t="str">
        <f t="shared" si="4"/>
        <v/>
      </c>
      <c r="P90" s="27" t="str">
        <f t="shared" si="5"/>
        <v/>
      </c>
    </row>
    <row r="91" spans="1:16">
      <c r="A91" s="24" t="s">
        <v>173</v>
      </c>
      <c r="B91" s="24" t="s">
        <v>61</v>
      </c>
      <c r="C91" s="24" t="s">
        <v>155</v>
      </c>
      <c r="D91" s="24" t="s">
        <v>156</v>
      </c>
      <c r="E91" s="24" t="s">
        <v>90</v>
      </c>
      <c r="F91" s="24" t="s">
        <v>91</v>
      </c>
      <c r="G91" s="24" t="s">
        <v>92</v>
      </c>
      <c r="H91" s="33">
        <v>1000</v>
      </c>
      <c r="I91" s="33">
        <v>2875613</v>
      </c>
      <c r="J91" s="24"/>
      <c r="K91" s="25"/>
      <c r="L91" s="25"/>
      <c r="M91" s="25"/>
      <c r="N91" s="26"/>
      <c r="O91" s="36" t="str">
        <f t="shared" si="4"/>
        <v/>
      </c>
      <c r="P91" s="27" t="str">
        <f t="shared" si="5"/>
        <v/>
      </c>
    </row>
    <row r="92" spans="1:16">
      <c r="A92" s="24" t="s">
        <v>174</v>
      </c>
      <c r="B92" s="24" t="s">
        <v>61</v>
      </c>
      <c r="C92" s="24" t="s">
        <v>155</v>
      </c>
      <c r="D92" s="24" t="s">
        <v>156</v>
      </c>
      <c r="E92" s="24" t="s">
        <v>90</v>
      </c>
      <c r="F92" s="24" t="s">
        <v>91</v>
      </c>
      <c r="G92" s="24" t="s">
        <v>92</v>
      </c>
      <c r="H92" s="33">
        <v>1001</v>
      </c>
      <c r="I92" s="33">
        <v>8566257</v>
      </c>
      <c r="J92" s="24"/>
      <c r="K92" s="25"/>
      <c r="L92" s="25"/>
      <c r="M92" s="25"/>
      <c r="N92" s="26"/>
      <c r="O92" s="36" t="str">
        <f t="shared" si="4"/>
        <v/>
      </c>
      <c r="P92" s="27" t="str">
        <f t="shared" si="5"/>
        <v/>
      </c>
    </row>
    <row r="93" spans="1:16">
      <c r="A93" s="24" t="s">
        <v>175</v>
      </c>
      <c r="B93" s="24" t="s">
        <v>61</v>
      </c>
      <c r="C93" s="24" t="s">
        <v>155</v>
      </c>
      <c r="D93" s="24" t="s">
        <v>156</v>
      </c>
      <c r="E93" s="24" t="s">
        <v>90</v>
      </c>
      <c r="F93" s="24" t="s">
        <v>91</v>
      </c>
      <c r="G93" s="24" t="s">
        <v>92</v>
      </c>
      <c r="H93" s="33">
        <v>1001</v>
      </c>
      <c r="I93" s="33">
        <v>2875613</v>
      </c>
      <c r="J93" s="24"/>
      <c r="K93" s="25"/>
      <c r="L93" s="25"/>
      <c r="M93" s="25"/>
      <c r="N93" s="26"/>
      <c r="O93" s="36" t="str">
        <f t="shared" si="4"/>
        <v/>
      </c>
      <c r="P93" s="27" t="str">
        <f t="shared" si="5"/>
        <v/>
      </c>
    </row>
    <row r="94" spans="1:16">
      <c r="A94" s="24" t="s">
        <v>176</v>
      </c>
      <c r="B94" s="24" t="s">
        <v>61</v>
      </c>
      <c r="C94" s="24" t="s">
        <v>155</v>
      </c>
      <c r="D94" s="24" t="s">
        <v>156</v>
      </c>
      <c r="E94" s="24" t="s">
        <v>90</v>
      </c>
      <c r="F94" s="24" t="s">
        <v>97</v>
      </c>
      <c r="G94" s="24" t="s">
        <v>98</v>
      </c>
      <c r="H94" s="33">
        <v>1000</v>
      </c>
      <c r="I94" s="33">
        <v>8566257</v>
      </c>
      <c r="J94" s="24"/>
      <c r="K94" s="25"/>
      <c r="L94" s="25"/>
      <c r="M94" s="25"/>
      <c r="N94" s="26"/>
      <c r="O94" s="36" t="str">
        <f t="shared" si="4"/>
        <v/>
      </c>
      <c r="P94" s="27" t="str">
        <f t="shared" si="5"/>
        <v/>
      </c>
    </row>
    <row r="95" spans="1:16">
      <c r="A95" s="24" t="s">
        <v>177</v>
      </c>
      <c r="B95" s="24" t="s">
        <v>61</v>
      </c>
      <c r="C95" s="24" t="s">
        <v>155</v>
      </c>
      <c r="D95" s="24" t="s">
        <v>156</v>
      </c>
      <c r="E95" s="24" t="s">
        <v>90</v>
      </c>
      <c r="F95" s="24" t="s">
        <v>97</v>
      </c>
      <c r="G95" s="24" t="s">
        <v>98</v>
      </c>
      <c r="H95" s="33">
        <v>1000</v>
      </c>
      <c r="I95" s="33">
        <v>2875613</v>
      </c>
      <c r="J95" s="24"/>
      <c r="K95" s="25"/>
      <c r="L95" s="25"/>
      <c r="M95" s="25"/>
      <c r="N95" s="26"/>
      <c r="O95" s="36" t="str">
        <f t="shared" si="4"/>
        <v/>
      </c>
      <c r="P95" s="27" t="str">
        <f t="shared" si="5"/>
        <v/>
      </c>
    </row>
    <row r="96" spans="1:16">
      <c r="A96" s="24" t="s">
        <v>178</v>
      </c>
      <c r="B96" s="24" t="s">
        <v>61</v>
      </c>
      <c r="C96" s="24" t="s">
        <v>155</v>
      </c>
      <c r="D96" s="24" t="s">
        <v>156</v>
      </c>
      <c r="E96" s="24" t="s">
        <v>90</v>
      </c>
      <c r="F96" s="24" t="s">
        <v>97</v>
      </c>
      <c r="G96" s="24" t="s">
        <v>98</v>
      </c>
      <c r="H96" s="33">
        <v>1001</v>
      </c>
      <c r="I96" s="33">
        <v>8566257</v>
      </c>
      <c r="J96" s="24"/>
      <c r="K96" s="25"/>
      <c r="L96" s="25"/>
      <c r="M96" s="25"/>
      <c r="N96" s="26"/>
      <c r="O96" s="36" t="str">
        <f t="shared" si="4"/>
        <v/>
      </c>
      <c r="P96" s="27" t="str">
        <f t="shared" si="5"/>
        <v/>
      </c>
    </row>
    <row r="97" spans="1:16">
      <c r="A97" s="24" t="s">
        <v>179</v>
      </c>
      <c r="B97" s="24" t="s">
        <v>61</v>
      </c>
      <c r="C97" s="24" t="s">
        <v>155</v>
      </c>
      <c r="D97" s="24" t="s">
        <v>156</v>
      </c>
      <c r="E97" s="24" t="s">
        <v>90</v>
      </c>
      <c r="F97" s="24" t="s">
        <v>97</v>
      </c>
      <c r="G97" s="24" t="s">
        <v>98</v>
      </c>
      <c r="H97" s="33">
        <v>1001</v>
      </c>
      <c r="I97" s="33">
        <v>2875613</v>
      </c>
      <c r="J97" s="24"/>
      <c r="K97" s="25"/>
      <c r="L97" s="25"/>
      <c r="M97" s="25"/>
      <c r="N97" s="26"/>
      <c r="O97" s="36" t="str">
        <f t="shared" si="4"/>
        <v/>
      </c>
      <c r="P97" s="27" t="str">
        <f t="shared" si="5"/>
        <v/>
      </c>
    </row>
    <row r="98" spans="1:16">
      <c r="A98" s="24" t="s">
        <v>180</v>
      </c>
      <c r="B98" s="24" t="s">
        <v>181</v>
      </c>
      <c r="C98" s="24" t="s">
        <v>182</v>
      </c>
      <c r="D98" s="24" t="s">
        <v>183</v>
      </c>
      <c r="E98" s="24" t="s">
        <v>64</v>
      </c>
      <c r="F98" s="24" t="s">
        <v>65</v>
      </c>
      <c r="G98" s="24" t="s">
        <v>66</v>
      </c>
      <c r="H98" s="33">
        <v>1000</v>
      </c>
      <c r="I98" s="33">
        <v>8566257</v>
      </c>
      <c r="J98" s="24"/>
      <c r="K98" s="25"/>
      <c r="L98" s="25"/>
      <c r="M98" s="25"/>
      <c r="N98" s="26"/>
      <c r="O98" s="36" t="str">
        <f t="shared" ref="O98:O129" si="6">IF(OR(K98="",N98=""),"",IF(N98="invalid",0,--(K98=N98)))</f>
        <v/>
      </c>
      <c r="P98" s="27" t="str">
        <f t="shared" ref="P98:P129" si="7">IF(OR(K98="",N98=""),"",IF(N98="invalid","invalid",IF(K98=N98,"agreement",IF(AND(K98="no",N98="yes"),"false_accept","false_reject"))))</f>
        <v/>
      </c>
    </row>
    <row r="99" spans="1:16">
      <c r="A99" s="24" t="s">
        <v>184</v>
      </c>
      <c r="B99" s="24" t="s">
        <v>181</v>
      </c>
      <c r="C99" s="24" t="s">
        <v>182</v>
      </c>
      <c r="D99" s="24" t="s">
        <v>183</v>
      </c>
      <c r="E99" s="24" t="s">
        <v>64</v>
      </c>
      <c r="F99" s="24" t="s">
        <v>65</v>
      </c>
      <c r="G99" s="24" t="s">
        <v>66</v>
      </c>
      <c r="H99" s="33">
        <v>1000</v>
      </c>
      <c r="I99" s="33">
        <v>2875613</v>
      </c>
      <c r="J99" s="24"/>
      <c r="K99" s="25"/>
      <c r="L99" s="25"/>
      <c r="M99" s="25"/>
      <c r="N99" s="26"/>
      <c r="O99" s="36" t="str">
        <f t="shared" si="6"/>
        <v/>
      </c>
      <c r="P99" s="27" t="str">
        <f t="shared" si="7"/>
        <v/>
      </c>
    </row>
    <row r="100" spans="1:16">
      <c r="A100" s="24" t="s">
        <v>185</v>
      </c>
      <c r="B100" s="24" t="s">
        <v>181</v>
      </c>
      <c r="C100" s="24" t="s">
        <v>182</v>
      </c>
      <c r="D100" s="24" t="s">
        <v>183</v>
      </c>
      <c r="E100" s="24" t="s">
        <v>64</v>
      </c>
      <c r="F100" s="24" t="s">
        <v>65</v>
      </c>
      <c r="G100" s="24" t="s">
        <v>66</v>
      </c>
      <c r="H100" s="33">
        <v>1001</v>
      </c>
      <c r="I100" s="33">
        <v>8566257</v>
      </c>
      <c r="J100" s="24"/>
      <c r="K100" s="25"/>
      <c r="L100" s="25"/>
      <c r="M100" s="25"/>
      <c r="N100" s="26"/>
      <c r="O100" s="36" t="str">
        <f t="shared" si="6"/>
        <v/>
      </c>
      <c r="P100" s="27" t="str">
        <f t="shared" si="7"/>
        <v/>
      </c>
    </row>
    <row r="101" spans="1:16">
      <c r="A101" s="24" t="s">
        <v>186</v>
      </c>
      <c r="B101" s="24" t="s">
        <v>181</v>
      </c>
      <c r="C101" s="24" t="s">
        <v>182</v>
      </c>
      <c r="D101" s="24" t="s">
        <v>183</v>
      </c>
      <c r="E101" s="24" t="s">
        <v>64</v>
      </c>
      <c r="F101" s="24" t="s">
        <v>65</v>
      </c>
      <c r="G101" s="24" t="s">
        <v>66</v>
      </c>
      <c r="H101" s="33">
        <v>1001</v>
      </c>
      <c r="I101" s="33">
        <v>2875613</v>
      </c>
      <c r="J101" s="24"/>
      <c r="K101" s="25"/>
      <c r="L101" s="25"/>
      <c r="M101" s="25"/>
      <c r="N101" s="26"/>
      <c r="O101" s="36" t="str">
        <f t="shared" si="6"/>
        <v/>
      </c>
      <c r="P101" s="27" t="str">
        <f t="shared" si="7"/>
        <v/>
      </c>
    </row>
    <row r="102" spans="1:16">
      <c r="A102" s="24" t="s">
        <v>187</v>
      </c>
      <c r="B102" s="24" t="s">
        <v>181</v>
      </c>
      <c r="C102" s="24" t="s">
        <v>182</v>
      </c>
      <c r="D102" s="24" t="s">
        <v>183</v>
      </c>
      <c r="E102" s="24" t="s">
        <v>64</v>
      </c>
      <c r="F102" s="24" t="s">
        <v>71</v>
      </c>
      <c r="G102" s="24" t="s">
        <v>72</v>
      </c>
      <c r="H102" s="33">
        <v>1000</v>
      </c>
      <c r="I102" s="33">
        <v>8566257</v>
      </c>
      <c r="J102" s="24"/>
      <c r="K102" s="25"/>
      <c r="L102" s="25"/>
      <c r="M102" s="25"/>
      <c r="N102" s="26"/>
      <c r="O102" s="36" t="str">
        <f t="shared" si="6"/>
        <v/>
      </c>
      <c r="P102" s="27" t="str">
        <f t="shared" si="7"/>
        <v/>
      </c>
    </row>
    <row r="103" spans="1:16">
      <c r="A103" s="24" t="s">
        <v>188</v>
      </c>
      <c r="B103" s="24" t="s">
        <v>181</v>
      </c>
      <c r="C103" s="24" t="s">
        <v>182</v>
      </c>
      <c r="D103" s="24" t="s">
        <v>183</v>
      </c>
      <c r="E103" s="24" t="s">
        <v>64</v>
      </c>
      <c r="F103" s="24" t="s">
        <v>71</v>
      </c>
      <c r="G103" s="24" t="s">
        <v>72</v>
      </c>
      <c r="H103" s="33">
        <v>1000</v>
      </c>
      <c r="I103" s="33">
        <v>2875613</v>
      </c>
      <c r="J103" s="24"/>
      <c r="K103" s="25"/>
      <c r="L103" s="25"/>
      <c r="M103" s="25"/>
      <c r="N103" s="26"/>
      <c r="O103" s="36" t="str">
        <f t="shared" si="6"/>
        <v/>
      </c>
      <c r="P103" s="27" t="str">
        <f t="shared" si="7"/>
        <v/>
      </c>
    </row>
    <row r="104" spans="1:16">
      <c r="A104" s="24" t="s">
        <v>189</v>
      </c>
      <c r="B104" s="24" t="s">
        <v>181</v>
      </c>
      <c r="C104" s="24" t="s">
        <v>182</v>
      </c>
      <c r="D104" s="24" t="s">
        <v>183</v>
      </c>
      <c r="E104" s="24" t="s">
        <v>64</v>
      </c>
      <c r="F104" s="24" t="s">
        <v>71</v>
      </c>
      <c r="G104" s="24" t="s">
        <v>72</v>
      </c>
      <c r="H104" s="33">
        <v>1001</v>
      </c>
      <c r="I104" s="33">
        <v>8566257</v>
      </c>
      <c r="J104" s="24"/>
      <c r="K104" s="25"/>
      <c r="L104" s="25"/>
      <c r="M104" s="25"/>
      <c r="N104" s="26"/>
      <c r="O104" s="36" t="str">
        <f t="shared" si="6"/>
        <v/>
      </c>
      <c r="P104" s="27" t="str">
        <f t="shared" si="7"/>
        <v/>
      </c>
    </row>
    <row r="105" spans="1:16">
      <c r="A105" s="24" t="s">
        <v>190</v>
      </c>
      <c r="B105" s="24" t="s">
        <v>181</v>
      </c>
      <c r="C105" s="24" t="s">
        <v>182</v>
      </c>
      <c r="D105" s="24" t="s">
        <v>183</v>
      </c>
      <c r="E105" s="24" t="s">
        <v>64</v>
      </c>
      <c r="F105" s="24" t="s">
        <v>71</v>
      </c>
      <c r="G105" s="24" t="s">
        <v>72</v>
      </c>
      <c r="H105" s="33">
        <v>1001</v>
      </c>
      <c r="I105" s="33">
        <v>2875613</v>
      </c>
      <c r="J105" s="24"/>
      <c r="K105" s="25"/>
      <c r="L105" s="25"/>
      <c r="M105" s="25"/>
      <c r="N105" s="26"/>
      <c r="O105" s="36" t="str">
        <f t="shared" si="6"/>
        <v/>
      </c>
      <c r="P105" s="27" t="str">
        <f t="shared" si="7"/>
        <v/>
      </c>
    </row>
    <row r="106" spans="1:16">
      <c r="A106" s="24" t="s">
        <v>191</v>
      </c>
      <c r="B106" s="24" t="s">
        <v>181</v>
      </c>
      <c r="C106" s="24" t="s">
        <v>182</v>
      </c>
      <c r="D106" s="24" t="s">
        <v>183</v>
      </c>
      <c r="E106" s="24" t="s">
        <v>77</v>
      </c>
      <c r="F106" s="24" t="s">
        <v>78</v>
      </c>
      <c r="G106" s="24" t="s">
        <v>79</v>
      </c>
      <c r="H106" s="33">
        <v>1000</v>
      </c>
      <c r="I106" s="33">
        <v>8566257</v>
      </c>
      <c r="J106" s="24"/>
      <c r="K106" s="25"/>
      <c r="L106" s="25"/>
      <c r="M106" s="25"/>
      <c r="N106" s="26"/>
      <c r="O106" s="36" t="str">
        <f t="shared" si="6"/>
        <v/>
      </c>
      <c r="P106" s="27" t="str">
        <f t="shared" si="7"/>
        <v/>
      </c>
    </row>
    <row r="107" spans="1:16">
      <c r="A107" s="24" t="s">
        <v>192</v>
      </c>
      <c r="B107" s="24" t="s">
        <v>181</v>
      </c>
      <c r="C107" s="24" t="s">
        <v>182</v>
      </c>
      <c r="D107" s="24" t="s">
        <v>183</v>
      </c>
      <c r="E107" s="24" t="s">
        <v>77</v>
      </c>
      <c r="F107" s="24" t="s">
        <v>78</v>
      </c>
      <c r="G107" s="24" t="s">
        <v>79</v>
      </c>
      <c r="H107" s="33">
        <v>1000</v>
      </c>
      <c r="I107" s="33">
        <v>2875613</v>
      </c>
      <c r="J107" s="24"/>
      <c r="K107" s="25"/>
      <c r="L107" s="25"/>
      <c r="M107" s="25"/>
      <c r="N107" s="26"/>
      <c r="O107" s="36" t="str">
        <f t="shared" si="6"/>
        <v/>
      </c>
      <c r="P107" s="27" t="str">
        <f t="shared" si="7"/>
        <v/>
      </c>
    </row>
    <row r="108" spans="1:16">
      <c r="A108" s="24" t="s">
        <v>193</v>
      </c>
      <c r="B108" s="24" t="s">
        <v>181</v>
      </c>
      <c r="C108" s="24" t="s">
        <v>182</v>
      </c>
      <c r="D108" s="24" t="s">
        <v>183</v>
      </c>
      <c r="E108" s="24" t="s">
        <v>77</v>
      </c>
      <c r="F108" s="24" t="s">
        <v>78</v>
      </c>
      <c r="G108" s="24" t="s">
        <v>79</v>
      </c>
      <c r="H108" s="33">
        <v>1001</v>
      </c>
      <c r="I108" s="33">
        <v>8566257</v>
      </c>
      <c r="J108" s="24"/>
      <c r="K108" s="25"/>
      <c r="L108" s="25"/>
      <c r="M108" s="25"/>
      <c r="N108" s="26"/>
      <c r="O108" s="36" t="str">
        <f t="shared" si="6"/>
        <v/>
      </c>
      <c r="P108" s="27" t="str">
        <f t="shared" si="7"/>
        <v/>
      </c>
    </row>
    <row r="109" spans="1:16">
      <c r="A109" s="24" t="s">
        <v>194</v>
      </c>
      <c r="B109" s="24" t="s">
        <v>181</v>
      </c>
      <c r="C109" s="24" t="s">
        <v>182</v>
      </c>
      <c r="D109" s="24" t="s">
        <v>183</v>
      </c>
      <c r="E109" s="24" t="s">
        <v>77</v>
      </c>
      <c r="F109" s="24" t="s">
        <v>78</v>
      </c>
      <c r="G109" s="24" t="s">
        <v>79</v>
      </c>
      <c r="H109" s="33">
        <v>1001</v>
      </c>
      <c r="I109" s="33">
        <v>2875613</v>
      </c>
      <c r="J109" s="24"/>
      <c r="K109" s="25"/>
      <c r="L109" s="25"/>
      <c r="M109" s="25"/>
      <c r="N109" s="26"/>
      <c r="O109" s="36" t="str">
        <f t="shared" si="6"/>
        <v/>
      </c>
      <c r="P109" s="27" t="str">
        <f t="shared" si="7"/>
        <v/>
      </c>
    </row>
    <row r="110" spans="1:16">
      <c r="A110" s="24" t="s">
        <v>195</v>
      </c>
      <c r="B110" s="24" t="s">
        <v>181</v>
      </c>
      <c r="C110" s="24" t="s">
        <v>182</v>
      </c>
      <c r="D110" s="24" t="s">
        <v>183</v>
      </c>
      <c r="E110" s="24" t="s">
        <v>77</v>
      </c>
      <c r="F110" s="24" t="s">
        <v>84</v>
      </c>
      <c r="G110" s="24" t="s">
        <v>85</v>
      </c>
      <c r="H110" s="33">
        <v>1000</v>
      </c>
      <c r="I110" s="33">
        <v>8566257</v>
      </c>
      <c r="J110" s="24"/>
      <c r="K110" s="25"/>
      <c r="L110" s="25"/>
      <c r="M110" s="25"/>
      <c r="N110" s="26"/>
      <c r="O110" s="36" t="str">
        <f t="shared" si="6"/>
        <v/>
      </c>
      <c r="P110" s="27" t="str">
        <f t="shared" si="7"/>
        <v/>
      </c>
    </row>
    <row r="111" spans="1:16">
      <c r="A111" s="24" t="s">
        <v>196</v>
      </c>
      <c r="B111" s="24" t="s">
        <v>181</v>
      </c>
      <c r="C111" s="24" t="s">
        <v>182</v>
      </c>
      <c r="D111" s="24" t="s">
        <v>183</v>
      </c>
      <c r="E111" s="24" t="s">
        <v>77</v>
      </c>
      <c r="F111" s="24" t="s">
        <v>84</v>
      </c>
      <c r="G111" s="24" t="s">
        <v>85</v>
      </c>
      <c r="H111" s="33">
        <v>1000</v>
      </c>
      <c r="I111" s="33">
        <v>2875613</v>
      </c>
      <c r="J111" s="24"/>
      <c r="K111" s="25"/>
      <c r="L111" s="25"/>
      <c r="M111" s="25"/>
      <c r="N111" s="26"/>
      <c r="O111" s="36" t="str">
        <f t="shared" si="6"/>
        <v/>
      </c>
      <c r="P111" s="27" t="str">
        <f t="shared" si="7"/>
        <v/>
      </c>
    </row>
    <row r="112" spans="1:16">
      <c r="A112" s="24" t="s">
        <v>197</v>
      </c>
      <c r="B112" s="24" t="s">
        <v>181</v>
      </c>
      <c r="C112" s="24" t="s">
        <v>182</v>
      </c>
      <c r="D112" s="24" t="s">
        <v>183</v>
      </c>
      <c r="E112" s="24" t="s">
        <v>77</v>
      </c>
      <c r="F112" s="24" t="s">
        <v>84</v>
      </c>
      <c r="G112" s="24" t="s">
        <v>85</v>
      </c>
      <c r="H112" s="33">
        <v>1001</v>
      </c>
      <c r="I112" s="33">
        <v>8566257</v>
      </c>
      <c r="J112" s="24"/>
      <c r="K112" s="25"/>
      <c r="L112" s="25"/>
      <c r="M112" s="25"/>
      <c r="N112" s="26"/>
      <c r="O112" s="36" t="str">
        <f t="shared" si="6"/>
        <v/>
      </c>
      <c r="P112" s="27" t="str">
        <f t="shared" si="7"/>
        <v/>
      </c>
    </row>
    <row r="113" spans="1:16">
      <c r="A113" s="24" t="s">
        <v>198</v>
      </c>
      <c r="B113" s="24" t="s">
        <v>181</v>
      </c>
      <c r="C113" s="24" t="s">
        <v>182</v>
      </c>
      <c r="D113" s="24" t="s">
        <v>183</v>
      </c>
      <c r="E113" s="24" t="s">
        <v>77</v>
      </c>
      <c r="F113" s="24" t="s">
        <v>84</v>
      </c>
      <c r="G113" s="24" t="s">
        <v>85</v>
      </c>
      <c r="H113" s="33">
        <v>1001</v>
      </c>
      <c r="I113" s="33">
        <v>2875613</v>
      </c>
      <c r="J113" s="24"/>
      <c r="K113" s="25"/>
      <c r="L113" s="25"/>
      <c r="M113" s="25"/>
      <c r="N113" s="26"/>
      <c r="O113" s="36" t="str">
        <f t="shared" si="6"/>
        <v/>
      </c>
      <c r="P113" s="27" t="str">
        <f t="shared" si="7"/>
        <v/>
      </c>
    </row>
    <row r="114" spans="1:16">
      <c r="A114" s="24" t="s">
        <v>199</v>
      </c>
      <c r="B114" s="24" t="s">
        <v>181</v>
      </c>
      <c r="C114" s="24" t="s">
        <v>182</v>
      </c>
      <c r="D114" s="24" t="s">
        <v>183</v>
      </c>
      <c r="E114" s="24" t="s">
        <v>90</v>
      </c>
      <c r="F114" s="24" t="s">
        <v>91</v>
      </c>
      <c r="G114" s="24" t="s">
        <v>92</v>
      </c>
      <c r="H114" s="33">
        <v>1000</v>
      </c>
      <c r="I114" s="33">
        <v>8566257</v>
      </c>
      <c r="J114" s="24"/>
      <c r="K114" s="25"/>
      <c r="L114" s="25"/>
      <c r="M114" s="25"/>
      <c r="N114" s="26"/>
      <c r="O114" s="36" t="str">
        <f t="shared" si="6"/>
        <v/>
      </c>
      <c r="P114" s="27" t="str">
        <f t="shared" si="7"/>
        <v/>
      </c>
    </row>
    <row r="115" spans="1:16">
      <c r="A115" s="24" t="s">
        <v>200</v>
      </c>
      <c r="B115" s="24" t="s">
        <v>181</v>
      </c>
      <c r="C115" s="24" t="s">
        <v>182</v>
      </c>
      <c r="D115" s="24" t="s">
        <v>183</v>
      </c>
      <c r="E115" s="24" t="s">
        <v>90</v>
      </c>
      <c r="F115" s="24" t="s">
        <v>91</v>
      </c>
      <c r="G115" s="24" t="s">
        <v>92</v>
      </c>
      <c r="H115" s="33">
        <v>1000</v>
      </c>
      <c r="I115" s="33">
        <v>2875613</v>
      </c>
      <c r="J115" s="24"/>
      <c r="K115" s="25"/>
      <c r="L115" s="25"/>
      <c r="M115" s="25"/>
      <c r="N115" s="26"/>
      <c r="O115" s="36" t="str">
        <f t="shared" si="6"/>
        <v/>
      </c>
      <c r="P115" s="27" t="str">
        <f t="shared" si="7"/>
        <v/>
      </c>
    </row>
    <row r="116" spans="1:16">
      <c r="A116" s="24" t="s">
        <v>201</v>
      </c>
      <c r="B116" s="24" t="s">
        <v>181</v>
      </c>
      <c r="C116" s="24" t="s">
        <v>182</v>
      </c>
      <c r="D116" s="24" t="s">
        <v>183</v>
      </c>
      <c r="E116" s="24" t="s">
        <v>90</v>
      </c>
      <c r="F116" s="24" t="s">
        <v>91</v>
      </c>
      <c r="G116" s="24" t="s">
        <v>92</v>
      </c>
      <c r="H116" s="33">
        <v>1001</v>
      </c>
      <c r="I116" s="33">
        <v>8566257</v>
      </c>
      <c r="J116" s="24"/>
      <c r="K116" s="25"/>
      <c r="L116" s="25"/>
      <c r="M116" s="25"/>
      <c r="N116" s="26"/>
      <c r="O116" s="36" t="str">
        <f t="shared" si="6"/>
        <v/>
      </c>
      <c r="P116" s="27" t="str">
        <f t="shared" si="7"/>
        <v/>
      </c>
    </row>
    <row r="117" spans="1:16">
      <c r="A117" s="24" t="s">
        <v>202</v>
      </c>
      <c r="B117" s="24" t="s">
        <v>181</v>
      </c>
      <c r="C117" s="24" t="s">
        <v>182</v>
      </c>
      <c r="D117" s="24" t="s">
        <v>183</v>
      </c>
      <c r="E117" s="24" t="s">
        <v>90</v>
      </c>
      <c r="F117" s="24" t="s">
        <v>91</v>
      </c>
      <c r="G117" s="24" t="s">
        <v>92</v>
      </c>
      <c r="H117" s="33">
        <v>1001</v>
      </c>
      <c r="I117" s="33">
        <v>2875613</v>
      </c>
      <c r="J117" s="24"/>
      <c r="K117" s="25"/>
      <c r="L117" s="25"/>
      <c r="M117" s="25"/>
      <c r="N117" s="26"/>
      <c r="O117" s="36" t="str">
        <f t="shared" si="6"/>
        <v/>
      </c>
      <c r="P117" s="27" t="str">
        <f t="shared" si="7"/>
        <v/>
      </c>
    </row>
    <row r="118" spans="1:16">
      <c r="A118" s="24" t="s">
        <v>203</v>
      </c>
      <c r="B118" s="24" t="s">
        <v>181</v>
      </c>
      <c r="C118" s="24" t="s">
        <v>182</v>
      </c>
      <c r="D118" s="24" t="s">
        <v>183</v>
      </c>
      <c r="E118" s="24" t="s">
        <v>90</v>
      </c>
      <c r="F118" s="24" t="s">
        <v>97</v>
      </c>
      <c r="G118" s="24" t="s">
        <v>98</v>
      </c>
      <c r="H118" s="33">
        <v>1000</v>
      </c>
      <c r="I118" s="33">
        <v>8566257</v>
      </c>
      <c r="J118" s="24"/>
      <c r="K118" s="25"/>
      <c r="L118" s="25"/>
      <c r="M118" s="25"/>
      <c r="N118" s="26"/>
      <c r="O118" s="36" t="str">
        <f t="shared" si="6"/>
        <v/>
      </c>
      <c r="P118" s="27" t="str">
        <f t="shared" si="7"/>
        <v/>
      </c>
    </row>
    <row r="119" spans="1:16">
      <c r="A119" s="24" t="s">
        <v>204</v>
      </c>
      <c r="B119" s="24" t="s">
        <v>181</v>
      </c>
      <c r="C119" s="24" t="s">
        <v>182</v>
      </c>
      <c r="D119" s="24" t="s">
        <v>183</v>
      </c>
      <c r="E119" s="24" t="s">
        <v>90</v>
      </c>
      <c r="F119" s="24" t="s">
        <v>97</v>
      </c>
      <c r="G119" s="24" t="s">
        <v>98</v>
      </c>
      <c r="H119" s="33">
        <v>1000</v>
      </c>
      <c r="I119" s="33">
        <v>2875613</v>
      </c>
      <c r="J119" s="24"/>
      <c r="K119" s="25"/>
      <c r="L119" s="25"/>
      <c r="M119" s="25"/>
      <c r="N119" s="26"/>
      <c r="O119" s="36" t="str">
        <f t="shared" si="6"/>
        <v/>
      </c>
      <c r="P119" s="27" t="str">
        <f t="shared" si="7"/>
        <v/>
      </c>
    </row>
    <row r="120" spans="1:16">
      <c r="A120" s="24" t="s">
        <v>205</v>
      </c>
      <c r="B120" s="24" t="s">
        <v>181</v>
      </c>
      <c r="C120" s="24" t="s">
        <v>182</v>
      </c>
      <c r="D120" s="24" t="s">
        <v>183</v>
      </c>
      <c r="E120" s="24" t="s">
        <v>90</v>
      </c>
      <c r="F120" s="24" t="s">
        <v>97</v>
      </c>
      <c r="G120" s="24" t="s">
        <v>98</v>
      </c>
      <c r="H120" s="33">
        <v>1001</v>
      </c>
      <c r="I120" s="33">
        <v>8566257</v>
      </c>
      <c r="J120" s="24"/>
      <c r="K120" s="25"/>
      <c r="L120" s="25"/>
      <c r="M120" s="25"/>
      <c r="N120" s="26"/>
      <c r="O120" s="36" t="str">
        <f t="shared" si="6"/>
        <v/>
      </c>
      <c r="P120" s="27" t="str">
        <f t="shared" si="7"/>
        <v/>
      </c>
    </row>
    <row r="121" spans="1:16">
      <c r="A121" s="24" t="s">
        <v>206</v>
      </c>
      <c r="B121" s="24" t="s">
        <v>181</v>
      </c>
      <c r="C121" s="24" t="s">
        <v>182</v>
      </c>
      <c r="D121" s="24" t="s">
        <v>183</v>
      </c>
      <c r="E121" s="24" t="s">
        <v>90</v>
      </c>
      <c r="F121" s="24" t="s">
        <v>97</v>
      </c>
      <c r="G121" s="24" t="s">
        <v>98</v>
      </c>
      <c r="H121" s="33">
        <v>1001</v>
      </c>
      <c r="I121" s="33">
        <v>2875613</v>
      </c>
      <c r="J121" s="24"/>
      <c r="K121" s="25"/>
      <c r="L121" s="25"/>
      <c r="M121" s="25"/>
      <c r="N121" s="26"/>
      <c r="O121" s="36" t="str">
        <f t="shared" si="6"/>
        <v/>
      </c>
      <c r="P121" s="27" t="str">
        <f t="shared" si="7"/>
        <v/>
      </c>
    </row>
    <row r="122" spans="1:16">
      <c r="A122" s="24" t="s">
        <v>207</v>
      </c>
      <c r="B122" s="24" t="s">
        <v>181</v>
      </c>
      <c r="C122" s="24" t="s">
        <v>208</v>
      </c>
      <c r="D122" s="24" t="s">
        <v>209</v>
      </c>
      <c r="E122" s="24" t="s">
        <v>64</v>
      </c>
      <c r="F122" s="24" t="s">
        <v>65</v>
      </c>
      <c r="G122" s="24" t="s">
        <v>66</v>
      </c>
      <c r="H122" s="33">
        <v>1000</v>
      </c>
      <c r="I122" s="33">
        <v>8566257</v>
      </c>
      <c r="J122" s="24"/>
      <c r="K122" s="25"/>
      <c r="L122" s="25"/>
      <c r="M122" s="25"/>
      <c r="N122" s="26"/>
      <c r="O122" s="36" t="str">
        <f t="shared" si="6"/>
        <v/>
      </c>
      <c r="P122" s="27" t="str">
        <f t="shared" si="7"/>
        <v/>
      </c>
    </row>
    <row r="123" spans="1:16">
      <c r="A123" s="24" t="s">
        <v>210</v>
      </c>
      <c r="B123" s="24" t="s">
        <v>181</v>
      </c>
      <c r="C123" s="24" t="s">
        <v>208</v>
      </c>
      <c r="D123" s="24" t="s">
        <v>209</v>
      </c>
      <c r="E123" s="24" t="s">
        <v>64</v>
      </c>
      <c r="F123" s="24" t="s">
        <v>65</v>
      </c>
      <c r="G123" s="24" t="s">
        <v>66</v>
      </c>
      <c r="H123" s="33">
        <v>1000</v>
      </c>
      <c r="I123" s="33">
        <v>2875613</v>
      </c>
      <c r="J123" s="24"/>
      <c r="K123" s="25"/>
      <c r="L123" s="25"/>
      <c r="M123" s="25"/>
      <c r="N123" s="26"/>
      <c r="O123" s="36" t="str">
        <f t="shared" si="6"/>
        <v/>
      </c>
      <c r="P123" s="27" t="str">
        <f t="shared" si="7"/>
        <v/>
      </c>
    </row>
    <row r="124" spans="1:16">
      <c r="A124" s="24" t="s">
        <v>211</v>
      </c>
      <c r="B124" s="24" t="s">
        <v>181</v>
      </c>
      <c r="C124" s="24" t="s">
        <v>208</v>
      </c>
      <c r="D124" s="24" t="s">
        <v>209</v>
      </c>
      <c r="E124" s="24" t="s">
        <v>64</v>
      </c>
      <c r="F124" s="24" t="s">
        <v>65</v>
      </c>
      <c r="G124" s="24" t="s">
        <v>66</v>
      </c>
      <c r="H124" s="33">
        <v>1001</v>
      </c>
      <c r="I124" s="33">
        <v>8566257</v>
      </c>
      <c r="J124" s="24"/>
      <c r="K124" s="25"/>
      <c r="L124" s="25"/>
      <c r="M124" s="25"/>
      <c r="N124" s="26"/>
      <c r="O124" s="36" t="str">
        <f t="shared" si="6"/>
        <v/>
      </c>
      <c r="P124" s="27" t="str">
        <f t="shared" si="7"/>
        <v/>
      </c>
    </row>
    <row r="125" spans="1:16">
      <c r="A125" s="24" t="s">
        <v>212</v>
      </c>
      <c r="B125" s="24" t="s">
        <v>181</v>
      </c>
      <c r="C125" s="24" t="s">
        <v>208</v>
      </c>
      <c r="D125" s="24" t="s">
        <v>209</v>
      </c>
      <c r="E125" s="24" t="s">
        <v>64</v>
      </c>
      <c r="F125" s="24" t="s">
        <v>65</v>
      </c>
      <c r="G125" s="24" t="s">
        <v>66</v>
      </c>
      <c r="H125" s="33">
        <v>1001</v>
      </c>
      <c r="I125" s="33">
        <v>2875613</v>
      </c>
      <c r="J125" s="24"/>
      <c r="K125" s="25"/>
      <c r="L125" s="25"/>
      <c r="M125" s="25"/>
      <c r="N125" s="26"/>
      <c r="O125" s="36" t="str">
        <f t="shared" si="6"/>
        <v/>
      </c>
      <c r="P125" s="27" t="str">
        <f t="shared" si="7"/>
        <v/>
      </c>
    </row>
    <row r="126" spans="1:16">
      <c r="A126" s="24" t="s">
        <v>213</v>
      </c>
      <c r="B126" s="24" t="s">
        <v>181</v>
      </c>
      <c r="C126" s="24" t="s">
        <v>208</v>
      </c>
      <c r="D126" s="24" t="s">
        <v>209</v>
      </c>
      <c r="E126" s="24" t="s">
        <v>64</v>
      </c>
      <c r="F126" s="24" t="s">
        <v>71</v>
      </c>
      <c r="G126" s="24" t="s">
        <v>72</v>
      </c>
      <c r="H126" s="33">
        <v>1000</v>
      </c>
      <c r="I126" s="33">
        <v>8566257</v>
      </c>
      <c r="J126" s="24"/>
      <c r="K126" s="25"/>
      <c r="L126" s="25"/>
      <c r="M126" s="25"/>
      <c r="N126" s="26"/>
      <c r="O126" s="36" t="str">
        <f t="shared" si="6"/>
        <v/>
      </c>
      <c r="P126" s="27" t="str">
        <f t="shared" si="7"/>
        <v/>
      </c>
    </row>
    <row r="127" spans="1:16">
      <c r="A127" s="24" t="s">
        <v>214</v>
      </c>
      <c r="B127" s="24" t="s">
        <v>181</v>
      </c>
      <c r="C127" s="24" t="s">
        <v>208</v>
      </c>
      <c r="D127" s="24" t="s">
        <v>209</v>
      </c>
      <c r="E127" s="24" t="s">
        <v>64</v>
      </c>
      <c r="F127" s="24" t="s">
        <v>71</v>
      </c>
      <c r="G127" s="24" t="s">
        <v>72</v>
      </c>
      <c r="H127" s="33">
        <v>1000</v>
      </c>
      <c r="I127" s="33">
        <v>2875613</v>
      </c>
      <c r="J127" s="24"/>
      <c r="K127" s="25"/>
      <c r="L127" s="25"/>
      <c r="M127" s="25"/>
      <c r="N127" s="26"/>
      <c r="O127" s="36" t="str">
        <f t="shared" si="6"/>
        <v/>
      </c>
      <c r="P127" s="27" t="str">
        <f t="shared" si="7"/>
        <v/>
      </c>
    </row>
    <row r="128" spans="1:16">
      <c r="A128" s="24" t="s">
        <v>215</v>
      </c>
      <c r="B128" s="24" t="s">
        <v>181</v>
      </c>
      <c r="C128" s="24" t="s">
        <v>208</v>
      </c>
      <c r="D128" s="24" t="s">
        <v>209</v>
      </c>
      <c r="E128" s="24" t="s">
        <v>64</v>
      </c>
      <c r="F128" s="24" t="s">
        <v>71</v>
      </c>
      <c r="G128" s="24" t="s">
        <v>72</v>
      </c>
      <c r="H128" s="33">
        <v>1001</v>
      </c>
      <c r="I128" s="33">
        <v>8566257</v>
      </c>
      <c r="J128" s="24"/>
      <c r="K128" s="25"/>
      <c r="L128" s="25"/>
      <c r="M128" s="25"/>
      <c r="N128" s="26"/>
      <c r="O128" s="36" t="str">
        <f t="shared" si="6"/>
        <v/>
      </c>
      <c r="P128" s="27" t="str">
        <f t="shared" si="7"/>
        <v/>
      </c>
    </row>
    <row r="129" spans="1:16">
      <c r="A129" s="24" t="s">
        <v>216</v>
      </c>
      <c r="B129" s="24" t="s">
        <v>181</v>
      </c>
      <c r="C129" s="24" t="s">
        <v>208</v>
      </c>
      <c r="D129" s="24" t="s">
        <v>209</v>
      </c>
      <c r="E129" s="24" t="s">
        <v>64</v>
      </c>
      <c r="F129" s="24" t="s">
        <v>71</v>
      </c>
      <c r="G129" s="24" t="s">
        <v>72</v>
      </c>
      <c r="H129" s="33">
        <v>1001</v>
      </c>
      <c r="I129" s="33">
        <v>2875613</v>
      </c>
      <c r="J129" s="24"/>
      <c r="K129" s="25"/>
      <c r="L129" s="25"/>
      <c r="M129" s="25"/>
      <c r="N129" s="26"/>
      <c r="O129" s="36" t="str">
        <f t="shared" si="6"/>
        <v/>
      </c>
      <c r="P129" s="27" t="str">
        <f t="shared" si="7"/>
        <v/>
      </c>
    </row>
    <row r="130" spans="1:16">
      <c r="A130" s="24" t="s">
        <v>217</v>
      </c>
      <c r="B130" s="24" t="s">
        <v>181</v>
      </c>
      <c r="C130" s="24" t="s">
        <v>208</v>
      </c>
      <c r="D130" s="24" t="s">
        <v>209</v>
      </c>
      <c r="E130" s="24" t="s">
        <v>77</v>
      </c>
      <c r="F130" s="24" t="s">
        <v>78</v>
      </c>
      <c r="G130" s="24" t="s">
        <v>79</v>
      </c>
      <c r="H130" s="33">
        <v>1000</v>
      </c>
      <c r="I130" s="33">
        <v>8566257</v>
      </c>
      <c r="J130" s="24"/>
      <c r="K130" s="25"/>
      <c r="L130" s="25"/>
      <c r="M130" s="25"/>
      <c r="N130" s="26"/>
      <c r="O130" s="36" t="str">
        <f t="shared" ref="O130:O161" si="8">IF(OR(K130="",N130=""),"",IF(N130="invalid",0,--(K130=N130)))</f>
        <v/>
      </c>
      <c r="P130" s="27" t="str">
        <f t="shared" ref="P130:P161" si="9">IF(OR(K130="",N130=""),"",IF(N130="invalid","invalid",IF(K130=N130,"agreement",IF(AND(K130="no",N130="yes"),"false_accept","false_reject"))))</f>
        <v/>
      </c>
    </row>
    <row r="131" spans="1:16">
      <c r="A131" s="24" t="s">
        <v>218</v>
      </c>
      <c r="B131" s="24" t="s">
        <v>181</v>
      </c>
      <c r="C131" s="24" t="s">
        <v>208</v>
      </c>
      <c r="D131" s="24" t="s">
        <v>209</v>
      </c>
      <c r="E131" s="24" t="s">
        <v>77</v>
      </c>
      <c r="F131" s="24" t="s">
        <v>78</v>
      </c>
      <c r="G131" s="24" t="s">
        <v>79</v>
      </c>
      <c r="H131" s="33">
        <v>1000</v>
      </c>
      <c r="I131" s="33">
        <v>2875613</v>
      </c>
      <c r="J131" s="24"/>
      <c r="K131" s="25"/>
      <c r="L131" s="25"/>
      <c r="M131" s="25"/>
      <c r="N131" s="26"/>
      <c r="O131" s="36" t="str">
        <f t="shared" si="8"/>
        <v/>
      </c>
      <c r="P131" s="27" t="str">
        <f t="shared" si="9"/>
        <v/>
      </c>
    </row>
    <row r="132" spans="1:16">
      <c r="A132" s="24" t="s">
        <v>219</v>
      </c>
      <c r="B132" s="24" t="s">
        <v>181</v>
      </c>
      <c r="C132" s="24" t="s">
        <v>208</v>
      </c>
      <c r="D132" s="24" t="s">
        <v>209</v>
      </c>
      <c r="E132" s="24" t="s">
        <v>77</v>
      </c>
      <c r="F132" s="24" t="s">
        <v>78</v>
      </c>
      <c r="G132" s="24" t="s">
        <v>79</v>
      </c>
      <c r="H132" s="33">
        <v>1001</v>
      </c>
      <c r="I132" s="33">
        <v>8566257</v>
      </c>
      <c r="J132" s="24"/>
      <c r="K132" s="25"/>
      <c r="L132" s="25"/>
      <c r="M132" s="25"/>
      <c r="N132" s="26"/>
      <c r="O132" s="36" t="str">
        <f t="shared" si="8"/>
        <v/>
      </c>
      <c r="P132" s="27" t="str">
        <f t="shared" si="9"/>
        <v/>
      </c>
    </row>
    <row r="133" spans="1:16">
      <c r="A133" s="24" t="s">
        <v>220</v>
      </c>
      <c r="B133" s="24" t="s">
        <v>181</v>
      </c>
      <c r="C133" s="24" t="s">
        <v>208</v>
      </c>
      <c r="D133" s="24" t="s">
        <v>209</v>
      </c>
      <c r="E133" s="24" t="s">
        <v>77</v>
      </c>
      <c r="F133" s="24" t="s">
        <v>78</v>
      </c>
      <c r="G133" s="24" t="s">
        <v>79</v>
      </c>
      <c r="H133" s="33">
        <v>1001</v>
      </c>
      <c r="I133" s="33">
        <v>2875613</v>
      </c>
      <c r="J133" s="24"/>
      <c r="K133" s="25"/>
      <c r="L133" s="25"/>
      <c r="M133" s="25"/>
      <c r="N133" s="26"/>
      <c r="O133" s="36" t="str">
        <f t="shared" si="8"/>
        <v/>
      </c>
      <c r="P133" s="27" t="str">
        <f t="shared" si="9"/>
        <v/>
      </c>
    </row>
    <row r="134" spans="1:16">
      <c r="A134" s="24" t="s">
        <v>221</v>
      </c>
      <c r="B134" s="24" t="s">
        <v>181</v>
      </c>
      <c r="C134" s="24" t="s">
        <v>208</v>
      </c>
      <c r="D134" s="24" t="s">
        <v>209</v>
      </c>
      <c r="E134" s="24" t="s">
        <v>77</v>
      </c>
      <c r="F134" s="24" t="s">
        <v>84</v>
      </c>
      <c r="G134" s="24" t="s">
        <v>85</v>
      </c>
      <c r="H134" s="33">
        <v>1000</v>
      </c>
      <c r="I134" s="33">
        <v>8566257</v>
      </c>
      <c r="J134" s="24"/>
      <c r="K134" s="25"/>
      <c r="L134" s="25"/>
      <c r="M134" s="25"/>
      <c r="N134" s="26"/>
      <c r="O134" s="36" t="str">
        <f t="shared" si="8"/>
        <v/>
      </c>
      <c r="P134" s="27" t="str">
        <f t="shared" si="9"/>
        <v/>
      </c>
    </row>
    <row r="135" spans="1:16">
      <c r="A135" s="24" t="s">
        <v>222</v>
      </c>
      <c r="B135" s="24" t="s">
        <v>181</v>
      </c>
      <c r="C135" s="24" t="s">
        <v>208</v>
      </c>
      <c r="D135" s="24" t="s">
        <v>209</v>
      </c>
      <c r="E135" s="24" t="s">
        <v>77</v>
      </c>
      <c r="F135" s="24" t="s">
        <v>84</v>
      </c>
      <c r="G135" s="24" t="s">
        <v>85</v>
      </c>
      <c r="H135" s="33">
        <v>1000</v>
      </c>
      <c r="I135" s="33">
        <v>2875613</v>
      </c>
      <c r="J135" s="24"/>
      <c r="K135" s="25"/>
      <c r="L135" s="25"/>
      <c r="M135" s="25"/>
      <c r="N135" s="26"/>
      <c r="O135" s="36" t="str">
        <f t="shared" si="8"/>
        <v/>
      </c>
      <c r="P135" s="27" t="str">
        <f t="shared" si="9"/>
        <v/>
      </c>
    </row>
    <row r="136" spans="1:16">
      <c r="A136" s="24" t="s">
        <v>223</v>
      </c>
      <c r="B136" s="24" t="s">
        <v>181</v>
      </c>
      <c r="C136" s="24" t="s">
        <v>208</v>
      </c>
      <c r="D136" s="24" t="s">
        <v>209</v>
      </c>
      <c r="E136" s="24" t="s">
        <v>77</v>
      </c>
      <c r="F136" s="24" t="s">
        <v>84</v>
      </c>
      <c r="G136" s="24" t="s">
        <v>85</v>
      </c>
      <c r="H136" s="33">
        <v>1001</v>
      </c>
      <c r="I136" s="33">
        <v>8566257</v>
      </c>
      <c r="J136" s="24"/>
      <c r="K136" s="25"/>
      <c r="L136" s="25"/>
      <c r="M136" s="25"/>
      <c r="N136" s="26"/>
      <c r="O136" s="36" t="str">
        <f t="shared" si="8"/>
        <v/>
      </c>
      <c r="P136" s="27" t="str">
        <f t="shared" si="9"/>
        <v/>
      </c>
    </row>
    <row r="137" spans="1:16">
      <c r="A137" s="24" t="s">
        <v>224</v>
      </c>
      <c r="B137" s="24" t="s">
        <v>181</v>
      </c>
      <c r="C137" s="24" t="s">
        <v>208</v>
      </c>
      <c r="D137" s="24" t="s">
        <v>209</v>
      </c>
      <c r="E137" s="24" t="s">
        <v>77</v>
      </c>
      <c r="F137" s="24" t="s">
        <v>84</v>
      </c>
      <c r="G137" s="24" t="s">
        <v>85</v>
      </c>
      <c r="H137" s="33">
        <v>1001</v>
      </c>
      <c r="I137" s="33">
        <v>2875613</v>
      </c>
      <c r="J137" s="24"/>
      <c r="K137" s="25"/>
      <c r="L137" s="25"/>
      <c r="M137" s="25"/>
      <c r="N137" s="26"/>
      <c r="O137" s="36" t="str">
        <f t="shared" si="8"/>
        <v/>
      </c>
      <c r="P137" s="27" t="str">
        <f t="shared" si="9"/>
        <v/>
      </c>
    </row>
    <row r="138" spans="1:16">
      <c r="A138" s="24" t="s">
        <v>225</v>
      </c>
      <c r="B138" s="24" t="s">
        <v>181</v>
      </c>
      <c r="C138" s="24" t="s">
        <v>208</v>
      </c>
      <c r="D138" s="24" t="s">
        <v>209</v>
      </c>
      <c r="E138" s="24" t="s">
        <v>90</v>
      </c>
      <c r="F138" s="24" t="s">
        <v>91</v>
      </c>
      <c r="G138" s="24" t="s">
        <v>92</v>
      </c>
      <c r="H138" s="33">
        <v>1000</v>
      </c>
      <c r="I138" s="33">
        <v>8566257</v>
      </c>
      <c r="J138" s="24"/>
      <c r="K138" s="25"/>
      <c r="L138" s="25"/>
      <c r="M138" s="25"/>
      <c r="N138" s="26"/>
      <c r="O138" s="36" t="str">
        <f t="shared" si="8"/>
        <v/>
      </c>
      <c r="P138" s="27" t="str">
        <f t="shared" si="9"/>
        <v/>
      </c>
    </row>
    <row r="139" spans="1:16">
      <c r="A139" s="24" t="s">
        <v>226</v>
      </c>
      <c r="B139" s="24" t="s">
        <v>181</v>
      </c>
      <c r="C139" s="24" t="s">
        <v>208</v>
      </c>
      <c r="D139" s="24" t="s">
        <v>209</v>
      </c>
      <c r="E139" s="24" t="s">
        <v>90</v>
      </c>
      <c r="F139" s="24" t="s">
        <v>91</v>
      </c>
      <c r="G139" s="24" t="s">
        <v>92</v>
      </c>
      <c r="H139" s="33">
        <v>1000</v>
      </c>
      <c r="I139" s="33">
        <v>2875613</v>
      </c>
      <c r="J139" s="24"/>
      <c r="K139" s="25"/>
      <c r="L139" s="25"/>
      <c r="M139" s="25"/>
      <c r="N139" s="26"/>
      <c r="O139" s="36" t="str">
        <f t="shared" si="8"/>
        <v/>
      </c>
      <c r="P139" s="27" t="str">
        <f t="shared" si="9"/>
        <v/>
      </c>
    </row>
    <row r="140" spans="1:16">
      <c r="A140" s="24" t="s">
        <v>227</v>
      </c>
      <c r="B140" s="24" t="s">
        <v>181</v>
      </c>
      <c r="C140" s="24" t="s">
        <v>208</v>
      </c>
      <c r="D140" s="24" t="s">
        <v>209</v>
      </c>
      <c r="E140" s="24" t="s">
        <v>90</v>
      </c>
      <c r="F140" s="24" t="s">
        <v>91</v>
      </c>
      <c r="G140" s="24" t="s">
        <v>92</v>
      </c>
      <c r="H140" s="33">
        <v>1001</v>
      </c>
      <c r="I140" s="33">
        <v>8566257</v>
      </c>
      <c r="J140" s="24"/>
      <c r="K140" s="25"/>
      <c r="L140" s="25"/>
      <c r="M140" s="25"/>
      <c r="N140" s="26"/>
      <c r="O140" s="36" t="str">
        <f t="shared" si="8"/>
        <v/>
      </c>
      <c r="P140" s="27" t="str">
        <f t="shared" si="9"/>
        <v/>
      </c>
    </row>
    <row r="141" spans="1:16">
      <c r="A141" s="24" t="s">
        <v>228</v>
      </c>
      <c r="B141" s="24" t="s">
        <v>181</v>
      </c>
      <c r="C141" s="24" t="s">
        <v>208</v>
      </c>
      <c r="D141" s="24" t="s">
        <v>209</v>
      </c>
      <c r="E141" s="24" t="s">
        <v>90</v>
      </c>
      <c r="F141" s="24" t="s">
        <v>91</v>
      </c>
      <c r="G141" s="24" t="s">
        <v>92</v>
      </c>
      <c r="H141" s="33">
        <v>1001</v>
      </c>
      <c r="I141" s="33">
        <v>2875613</v>
      </c>
      <c r="J141" s="24"/>
      <c r="K141" s="25"/>
      <c r="L141" s="25"/>
      <c r="M141" s="25"/>
      <c r="N141" s="26"/>
      <c r="O141" s="36" t="str">
        <f t="shared" si="8"/>
        <v/>
      </c>
      <c r="P141" s="27" t="str">
        <f t="shared" si="9"/>
        <v/>
      </c>
    </row>
    <row r="142" spans="1:16">
      <c r="A142" s="24" t="s">
        <v>229</v>
      </c>
      <c r="B142" s="24" t="s">
        <v>181</v>
      </c>
      <c r="C142" s="24" t="s">
        <v>208</v>
      </c>
      <c r="D142" s="24" t="s">
        <v>209</v>
      </c>
      <c r="E142" s="24" t="s">
        <v>90</v>
      </c>
      <c r="F142" s="24" t="s">
        <v>97</v>
      </c>
      <c r="G142" s="24" t="s">
        <v>98</v>
      </c>
      <c r="H142" s="33">
        <v>1000</v>
      </c>
      <c r="I142" s="33">
        <v>8566257</v>
      </c>
      <c r="J142" s="24"/>
      <c r="K142" s="25"/>
      <c r="L142" s="25"/>
      <c r="M142" s="25"/>
      <c r="N142" s="26"/>
      <c r="O142" s="36" t="str">
        <f t="shared" si="8"/>
        <v/>
      </c>
      <c r="P142" s="27" t="str">
        <f t="shared" si="9"/>
        <v/>
      </c>
    </row>
    <row r="143" spans="1:16">
      <c r="A143" s="24" t="s">
        <v>230</v>
      </c>
      <c r="B143" s="24" t="s">
        <v>181</v>
      </c>
      <c r="C143" s="24" t="s">
        <v>208</v>
      </c>
      <c r="D143" s="24" t="s">
        <v>209</v>
      </c>
      <c r="E143" s="24" t="s">
        <v>90</v>
      </c>
      <c r="F143" s="24" t="s">
        <v>97</v>
      </c>
      <c r="G143" s="24" t="s">
        <v>98</v>
      </c>
      <c r="H143" s="33">
        <v>1000</v>
      </c>
      <c r="I143" s="33">
        <v>2875613</v>
      </c>
      <c r="J143" s="24"/>
      <c r="K143" s="25"/>
      <c r="L143" s="25"/>
      <c r="M143" s="25"/>
      <c r="N143" s="26"/>
      <c r="O143" s="36" t="str">
        <f t="shared" si="8"/>
        <v/>
      </c>
      <c r="P143" s="27" t="str">
        <f t="shared" si="9"/>
        <v/>
      </c>
    </row>
    <row r="144" spans="1:16">
      <c r="A144" s="24" t="s">
        <v>231</v>
      </c>
      <c r="B144" s="24" t="s">
        <v>181</v>
      </c>
      <c r="C144" s="24" t="s">
        <v>208</v>
      </c>
      <c r="D144" s="24" t="s">
        <v>209</v>
      </c>
      <c r="E144" s="24" t="s">
        <v>90</v>
      </c>
      <c r="F144" s="24" t="s">
        <v>97</v>
      </c>
      <c r="G144" s="24" t="s">
        <v>98</v>
      </c>
      <c r="H144" s="33">
        <v>1001</v>
      </c>
      <c r="I144" s="33">
        <v>8566257</v>
      </c>
      <c r="J144" s="24"/>
      <c r="K144" s="25"/>
      <c r="L144" s="25"/>
      <c r="M144" s="25"/>
      <c r="N144" s="26"/>
      <c r="O144" s="36" t="str">
        <f t="shared" si="8"/>
        <v/>
      </c>
      <c r="P144" s="27" t="str">
        <f t="shared" si="9"/>
        <v/>
      </c>
    </row>
    <row r="145" spans="1:16">
      <c r="A145" s="24" t="s">
        <v>232</v>
      </c>
      <c r="B145" s="24" t="s">
        <v>181</v>
      </c>
      <c r="C145" s="24" t="s">
        <v>208</v>
      </c>
      <c r="D145" s="24" t="s">
        <v>209</v>
      </c>
      <c r="E145" s="24" t="s">
        <v>90</v>
      </c>
      <c r="F145" s="24" t="s">
        <v>97</v>
      </c>
      <c r="G145" s="24" t="s">
        <v>98</v>
      </c>
      <c r="H145" s="33">
        <v>1001</v>
      </c>
      <c r="I145" s="33">
        <v>2875613</v>
      </c>
      <c r="J145" s="24"/>
      <c r="K145" s="25"/>
      <c r="L145" s="25"/>
      <c r="M145" s="25"/>
      <c r="N145" s="26"/>
      <c r="O145" s="36" t="str">
        <f t="shared" si="8"/>
        <v/>
      </c>
      <c r="P145" s="27" t="str">
        <f t="shared" si="9"/>
        <v/>
      </c>
    </row>
    <row r="146" spans="1:16">
      <c r="A146" s="24" t="s">
        <v>233</v>
      </c>
      <c r="B146" s="24" t="s">
        <v>234</v>
      </c>
      <c r="C146" s="24" t="s">
        <v>235</v>
      </c>
      <c r="D146" s="24" t="s">
        <v>236</v>
      </c>
      <c r="E146" s="24" t="s">
        <v>64</v>
      </c>
      <c r="F146" s="24" t="s">
        <v>65</v>
      </c>
      <c r="G146" s="24" t="s">
        <v>66</v>
      </c>
      <c r="H146" s="33">
        <v>1000</v>
      </c>
      <c r="I146" s="33">
        <v>8566257</v>
      </c>
      <c r="J146" s="24"/>
      <c r="K146" s="25"/>
      <c r="L146" s="25"/>
      <c r="M146" s="25"/>
      <c r="N146" s="26"/>
      <c r="O146" s="36" t="str">
        <f t="shared" si="8"/>
        <v/>
      </c>
      <c r="P146" s="27" t="str">
        <f t="shared" si="9"/>
        <v/>
      </c>
    </row>
    <row r="147" spans="1:16">
      <c r="A147" s="24" t="s">
        <v>237</v>
      </c>
      <c r="B147" s="24" t="s">
        <v>234</v>
      </c>
      <c r="C147" s="24" t="s">
        <v>235</v>
      </c>
      <c r="D147" s="24" t="s">
        <v>236</v>
      </c>
      <c r="E147" s="24" t="s">
        <v>64</v>
      </c>
      <c r="F147" s="24" t="s">
        <v>65</v>
      </c>
      <c r="G147" s="24" t="s">
        <v>66</v>
      </c>
      <c r="H147" s="33">
        <v>1000</v>
      </c>
      <c r="I147" s="33">
        <v>2875613</v>
      </c>
      <c r="J147" s="24"/>
      <c r="K147" s="25"/>
      <c r="L147" s="25"/>
      <c r="M147" s="25"/>
      <c r="N147" s="26"/>
      <c r="O147" s="36" t="str">
        <f t="shared" si="8"/>
        <v/>
      </c>
      <c r="P147" s="27" t="str">
        <f t="shared" si="9"/>
        <v/>
      </c>
    </row>
    <row r="148" spans="1:16">
      <c r="A148" s="24" t="s">
        <v>238</v>
      </c>
      <c r="B148" s="24" t="s">
        <v>234</v>
      </c>
      <c r="C148" s="24" t="s">
        <v>235</v>
      </c>
      <c r="D148" s="24" t="s">
        <v>236</v>
      </c>
      <c r="E148" s="24" t="s">
        <v>64</v>
      </c>
      <c r="F148" s="24" t="s">
        <v>65</v>
      </c>
      <c r="G148" s="24" t="s">
        <v>66</v>
      </c>
      <c r="H148" s="33">
        <v>1001</v>
      </c>
      <c r="I148" s="33">
        <v>8566257</v>
      </c>
      <c r="J148" s="24"/>
      <c r="K148" s="25"/>
      <c r="L148" s="25"/>
      <c r="M148" s="25"/>
      <c r="N148" s="26"/>
      <c r="O148" s="36" t="str">
        <f t="shared" si="8"/>
        <v/>
      </c>
      <c r="P148" s="27" t="str">
        <f t="shared" si="9"/>
        <v/>
      </c>
    </row>
    <row r="149" spans="1:16">
      <c r="A149" s="24" t="s">
        <v>239</v>
      </c>
      <c r="B149" s="24" t="s">
        <v>234</v>
      </c>
      <c r="C149" s="24" t="s">
        <v>235</v>
      </c>
      <c r="D149" s="24" t="s">
        <v>236</v>
      </c>
      <c r="E149" s="24" t="s">
        <v>64</v>
      </c>
      <c r="F149" s="24" t="s">
        <v>65</v>
      </c>
      <c r="G149" s="24" t="s">
        <v>66</v>
      </c>
      <c r="H149" s="33">
        <v>1001</v>
      </c>
      <c r="I149" s="33">
        <v>2875613</v>
      </c>
      <c r="J149" s="24"/>
      <c r="K149" s="25"/>
      <c r="L149" s="25"/>
      <c r="M149" s="25"/>
      <c r="N149" s="26"/>
      <c r="O149" s="36" t="str">
        <f t="shared" si="8"/>
        <v/>
      </c>
      <c r="P149" s="27" t="str">
        <f t="shared" si="9"/>
        <v/>
      </c>
    </row>
    <row r="150" spans="1:16">
      <c r="A150" s="24" t="s">
        <v>240</v>
      </c>
      <c r="B150" s="24" t="s">
        <v>234</v>
      </c>
      <c r="C150" s="24" t="s">
        <v>235</v>
      </c>
      <c r="D150" s="24" t="s">
        <v>236</v>
      </c>
      <c r="E150" s="24" t="s">
        <v>64</v>
      </c>
      <c r="F150" s="24" t="s">
        <v>71</v>
      </c>
      <c r="G150" s="24" t="s">
        <v>72</v>
      </c>
      <c r="H150" s="33">
        <v>1000</v>
      </c>
      <c r="I150" s="33">
        <v>8566257</v>
      </c>
      <c r="J150" s="24"/>
      <c r="K150" s="25"/>
      <c r="L150" s="25"/>
      <c r="M150" s="25"/>
      <c r="N150" s="26"/>
      <c r="O150" s="36" t="str">
        <f t="shared" si="8"/>
        <v/>
      </c>
      <c r="P150" s="27" t="str">
        <f t="shared" si="9"/>
        <v/>
      </c>
    </row>
    <row r="151" spans="1:16">
      <c r="A151" s="24" t="s">
        <v>241</v>
      </c>
      <c r="B151" s="24" t="s">
        <v>234</v>
      </c>
      <c r="C151" s="24" t="s">
        <v>235</v>
      </c>
      <c r="D151" s="24" t="s">
        <v>236</v>
      </c>
      <c r="E151" s="24" t="s">
        <v>64</v>
      </c>
      <c r="F151" s="24" t="s">
        <v>71</v>
      </c>
      <c r="G151" s="24" t="s">
        <v>72</v>
      </c>
      <c r="H151" s="33">
        <v>1000</v>
      </c>
      <c r="I151" s="33">
        <v>2875613</v>
      </c>
      <c r="J151" s="24"/>
      <c r="K151" s="25"/>
      <c r="L151" s="25"/>
      <c r="M151" s="25"/>
      <c r="N151" s="26"/>
      <c r="O151" s="36" t="str">
        <f t="shared" si="8"/>
        <v/>
      </c>
      <c r="P151" s="27" t="str">
        <f t="shared" si="9"/>
        <v/>
      </c>
    </row>
    <row r="152" spans="1:16">
      <c r="A152" s="24" t="s">
        <v>242</v>
      </c>
      <c r="B152" s="24" t="s">
        <v>234</v>
      </c>
      <c r="C152" s="24" t="s">
        <v>235</v>
      </c>
      <c r="D152" s="24" t="s">
        <v>236</v>
      </c>
      <c r="E152" s="24" t="s">
        <v>64</v>
      </c>
      <c r="F152" s="24" t="s">
        <v>71</v>
      </c>
      <c r="G152" s="24" t="s">
        <v>72</v>
      </c>
      <c r="H152" s="33">
        <v>1001</v>
      </c>
      <c r="I152" s="33">
        <v>8566257</v>
      </c>
      <c r="J152" s="24"/>
      <c r="K152" s="25"/>
      <c r="L152" s="25"/>
      <c r="M152" s="25"/>
      <c r="N152" s="26"/>
      <c r="O152" s="36" t="str">
        <f t="shared" si="8"/>
        <v/>
      </c>
      <c r="P152" s="27" t="str">
        <f t="shared" si="9"/>
        <v/>
      </c>
    </row>
    <row r="153" spans="1:16">
      <c r="A153" s="24" t="s">
        <v>243</v>
      </c>
      <c r="B153" s="24" t="s">
        <v>234</v>
      </c>
      <c r="C153" s="24" t="s">
        <v>235</v>
      </c>
      <c r="D153" s="24" t="s">
        <v>236</v>
      </c>
      <c r="E153" s="24" t="s">
        <v>64</v>
      </c>
      <c r="F153" s="24" t="s">
        <v>71</v>
      </c>
      <c r="G153" s="24" t="s">
        <v>72</v>
      </c>
      <c r="H153" s="33">
        <v>1001</v>
      </c>
      <c r="I153" s="33">
        <v>2875613</v>
      </c>
      <c r="J153" s="24"/>
      <c r="K153" s="25"/>
      <c r="L153" s="25"/>
      <c r="M153" s="25"/>
      <c r="N153" s="26"/>
      <c r="O153" s="36" t="str">
        <f t="shared" si="8"/>
        <v/>
      </c>
      <c r="P153" s="27" t="str">
        <f t="shared" si="9"/>
        <v/>
      </c>
    </row>
    <row r="154" spans="1:16">
      <c r="A154" s="24" t="s">
        <v>244</v>
      </c>
      <c r="B154" s="24" t="s">
        <v>234</v>
      </c>
      <c r="C154" s="24" t="s">
        <v>235</v>
      </c>
      <c r="D154" s="24" t="s">
        <v>236</v>
      </c>
      <c r="E154" s="24" t="s">
        <v>77</v>
      </c>
      <c r="F154" s="24" t="s">
        <v>78</v>
      </c>
      <c r="G154" s="24" t="s">
        <v>79</v>
      </c>
      <c r="H154" s="33">
        <v>1000</v>
      </c>
      <c r="I154" s="33">
        <v>8566257</v>
      </c>
      <c r="J154" s="24"/>
      <c r="K154" s="25"/>
      <c r="L154" s="25"/>
      <c r="M154" s="25"/>
      <c r="N154" s="26"/>
      <c r="O154" s="36" t="str">
        <f t="shared" si="8"/>
        <v/>
      </c>
      <c r="P154" s="27" t="str">
        <f t="shared" si="9"/>
        <v/>
      </c>
    </row>
    <row r="155" spans="1:16">
      <c r="A155" s="24" t="s">
        <v>245</v>
      </c>
      <c r="B155" s="24" t="s">
        <v>234</v>
      </c>
      <c r="C155" s="24" t="s">
        <v>235</v>
      </c>
      <c r="D155" s="24" t="s">
        <v>236</v>
      </c>
      <c r="E155" s="24" t="s">
        <v>77</v>
      </c>
      <c r="F155" s="24" t="s">
        <v>78</v>
      </c>
      <c r="G155" s="24" t="s">
        <v>79</v>
      </c>
      <c r="H155" s="33">
        <v>1000</v>
      </c>
      <c r="I155" s="33">
        <v>2875613</v>
      </c>
      <c r="J155" s="24"/>
      <c r="K155" s="25"/>
      <c r="L155" s="25"/>
      <c r="M155" s="25"/>
      <c r="N155" s="26"/>
      <c r="O155" s="36" t="str">
        <f t="shared" si="8"/>
        <v/>
      </c>
      <c r="P155" s="27" t="str">
        <f t="shared" si="9"/>
        <v/>
      </c>
    </row>
    <row r="156" spans="1:16">
      <c r="A156" s="24" t="s">
        <v>246</v>
      </c>
      <c r="B156" s="24" t="s">
        <v>234</v>
      </c>
      <c r="C156" s="24" t="s">
        <v>235</v>
      </c>
      <c r="D156" s="24" t="s">
        <v>236</v>
      </c>
      <c r="E156" s="24" t="s">
        <v>77</v>
      </c>
      <c r="F156" s="24" t="s">
        <v>78</v>
      </c>
      <c r="G156" s="24" t="s">
        <v>79</v>
      </c>
      <c r="H156" s="33">
        <v>1001</v>
      </c>
      <c r="I156" s="33">
        <v>8566257</v>
      </c>
      <c r="J156" s="24"/>
      <c r="K156" s="25"/>
      <c r="L156" s="25"/>
      <c r="M156" s="25"/>
      <c r="N156" s="26"/>
      <c r="O156" s="36" t="str">
        <f t="shared" si="8"/>
        <v/>
      </c>
      <c r="P156" s="27" t="str">
        <f t="shared" si="9"/>
        <v/>
      </c>
    </row>
    <row r="157" spans="1:16">
      <c r="A157" s="24" t="s">
        <v>247</v>
      </c>
      <c r="B157" s="24" t="s">
        <v>234</v>
      </c>
      <c r="C157" s="24" t="s">
        <v>235</v>
      </c>
      <c r="D157" s="24" t="s">
        <v>236</v>
      </c>
      <c r="E157" s="24" t="s">
        <v>77</v>
      </c>
      <c r="F157" s="24" t="s">
        <v>78</v>
      </c>
      <c r="G157" s="24" t="s">
        <v>79</v>
      </c>
      <c r="H157" s="33">
        <v>1001</v>
      </c>
      <c r="I157" s="33">
        <v>2875613</v>
      </c>
      <c r="J157" s="24"/>
      <c r="K157" s="25"/>
      <c r="L157" s="25"/>
      <c r="M157" s="25"/>
      <c r="N157" s="26"/>
      <c r="O157" s="36" t="str">
        <f t="shared" si="8"/>
        <v/>
      </c>
      <c r="P157" s="27" t="str">
        <f t="shared" si="9"/>
        <v/>
      </c>
    </row>
    <row r="158" spans="1:16">
      <c r="A158" s="24" t="s">
        <v>248</v>
      </c>
      <c r="B158" s="24" t="s">
        <v>234</v>
      </c>
      <c r="C158" s="24" t="s">
        <v>235</v>
      </c>
      <c r="D158" s="24" t="s">
        <v>236</v>
      </c>
      <c r="E158" s="24" t="s">
        <v>77</v>
      </c>
      <c r="F158" s="24" t="s">
        <v>84</v>
      </c>
      <c r="G158" s="24" t="s">
        <v>85</v>
      </c>
      <c r="H158" s="33">
        <v>1000</v>
      </c>
      <c r="I158" s="33">
        <v>8566257</v>
      </c>
      <c r="J158" s="24"/>
      <c r="K158" s="25"/>
      <c r="L158" s="25"/>
      <c r="M158" s="25"/>
      <c r="N158" s="26"/>
      <c r="O158" s="36" t="str">
        <f t="shared" si="8"/>
        <v/>
      </c>
      <c r="P158" s="27" t="str">
        <f t="shared" si="9"/>
        <v/>
      </c>
    </row>
    <row r="159" spans="1:16">
      <c r="A159" s="24" t="s">
        <v>249</v>
      </c>
      <c r="B159" s="24" t="s">
        <v>234</v>
      </c>
      <c r="C159" s="24" t="s">
        <v>235</v>
      </c>
      <c r="D159" s="24" t="s">
        <v>236</v>
      </c>
      <c r="E159" s="24" t="s">
        <v>77</v>
      </c>
      <c r="F159" s="24" t="s">
        <v>84</v>
      </c>
      <c r="G159" s="24" t="s">
        <v>85</v>
      </c>
      <c r="H159" s="33">
        <v>1000</v>
      </c>
      <c r="I159" s="33">
        <v>2875613</v>
      </c>
      <c r="J159" s="24"/>
      <c r="K159" s="25"/>
      <c r="L159" s="25"/>
      <c r="M159" s="25"/>
      <c r="N159" s="26"/>
      <c r="O159" s="36" t="str">
        <f t="shared" si="8"/>
        <v/>
      </c>
      <c r="P159" s="27" t="str">
        <f t="shared" si="9"/>
        <v/>
      </c>
    </row>
    <row r="160" spans="1:16">
      <c r="A160" s="24" t="s">
        <v>250</v>
      </c>
      <c r="B160" s="24" t="s">
        <v>234</v>
      </c>
      <c r="C160" s="24" t="s">
        <v>235</v>
      </c>
      <c r="D160" s="24" t="s">
        <v>236</v>
      </c>
      <c r="E160" s="24" t="s">
        <v>77</v>
      </c>
      <c r="F160" s="24" t="s">
        <v>84</v>
      </c>
      <c r="G160" s="24" t="s">
        <v>85</v>
      </c>
      <c r="H160" s="33">
        <v>1001</v>
      </c>
      <c r="I160" s="33">
        <v>8566257</v>
      </c>
      <c r="J160" s="24"/>
      <c r="K160" s="25"/>
      <c r="L160" s="25"/>
      <c r="M160" s="25"/>
      <c r="N160" s="26"/>
      <c r="O160" s="36" t="str">
        <f t="shared" si="8"/>
        <v/>
      </c>
      <c r="P160" s="27" t="str">
        <f t="shared" si="9"/>
        <v/>
      </c>
    </row>
    <row r="161" spans="1:16">
      <c r="A161" s="24" t="s">
        <v>251</v>
      </c>
      <c r="B161" s="24" t="s">
        <v>234</v>
      </c>
      <c r="C161" s="24" t="s">
        <v>235</v>
      </c>
      <c r="D161" s="24" t="s">
        <v>236</v>
      </c>
      <c r="E161" s="24" t="s">
        <v>77</v>
      </c>
      <c r="F161" s="24" t="s">
        <v>84</v>
      </c>
      <c r="G161" s="24" t="s">
        <v>85</v>
      </c>
      <c r="H161" s="33">
        <v>1001</v>
      </c>
      <c r="I161" s="33">
        <v>2875613</v>
      </c>
      <c r="J161" s="24"/>
      <c r="K161" s="25"/>
      <c r="L161" s="25"/>
      <c r="M161" s="25"/>
      <c r="N161" s="26"/>
      <c r="O161" s="36" t="str">
        <f t="shared" si="8"/>
        <v/>
      </c>
      <c r="P161" s="27" t="str">
        <f t="shared" si="9"/>
        <v/>
      </c>
    </row>
    <row r="162" spans="1:16">
      <c r="A162" s="24" t="s">
        <v>252</v>
      </c>
      <c r="B162" s="24" t="s">
        <v>234</v>
      </c>
      <c r="C162" s="24" t="s">
        <v>235</v>
      </c>
      <c r="D162" s="24" t="s">
        <v>236</v>
      </c>
      <c r="E162" s="24" t="s">
        <v>90</v>
      </c>
      <c r="F162" s="24" t="s">
        <v>91</v>
      </c>
      <c r="G162" s="24" t="s">
        <v>92</v>
      </c>
      <c r="H162" s="33">
        <v>1000</v>
      </c>
      <c r="I162" s="33">
        <v>8566257</v>
      </c>
      <c r="J162" s="24"/>
      <c r="K162" s="25"/>
      <c r="L162" s="25"/>
      <c r="M162" s="25"/>
      <c r="N162" s="26"/>
      <c r="O162" s="36" t="str">
        <f t="shared" ref="O162:O193" si="10">IF(OR(K162="",N162=""),"",IF(N162="invalid",0,--(K162=N162)))</f>
        <v/>
      </c>
      <c r="P162" s="27" t="str">
        <f t="shared" ref="P162:P169" si="11">IF(OR(K162="",N162=""),"",IF(N162="invalid","invalid",IF(K162=N162,"agreement",IF(AND(K162="no",N162="yes"),"false_accept","false_reject"))))</f>
        <v/>
      </c>
    </row>
    <row r="163" spans="1:16">
      <c r="A163" s="24" t="s">
        <v>253</v>
      </c>
      <c r="B163" s="24" t="s">
        <v>234</v>
      </c>
      <c r="C163" s="24" t="s">
        <v>235</v>
      </c>
      <c r="D163" s="24" t="s">
        <v>236</v>
      </c>
      <c r="E163" s="24" t="s">
        <v>90</v>
      </c>
      <c r="F163" s="24" t="s">
        <v>91</v>
      </c>
      <c r="G163" s="24" t="s">
        <v>92</v>
      </c>
      <c r="H163" s="33">
        <v>1000</v>
      </c>
      <c r="I163" s="33">
        <v>2875613</v>
      </c>
      <c r="J163" s="24"/>
      <c r="K163" s="25"/>
      <c r="L163" s="25"/>
      <c r="M163" s="25"/>
      <c r="N163" s="26"/>
      <c r="O163" s="36" t="str">
        <f t="shared" si="10"/>
        <v/>
      </c>
      <c r="P163" s="27" t="str">
        <f t="shared" si="11"/>
        <v/>
      </c>
    </row>
    <row r="164" spans="1:16">
      <c r="A164" s="24" t="s">
        <v>254</v>
      </c>
      <c r="B164" s="24" t="s">
        <v>234</v>
      </c>
      <c r="C164" s="24" t="s">
        <v>235</v>
      </c>
      <c r="D164" s="24" t="s">
        <v>236</v>
      </c>
      <c r="E164" s="24" t="s">
        <v>90</v>
      </c>
      <c r="F164" s="24" t="s">
        <v>91</v>
      </c>
      <c r="G164" s="24" t="s">
        <v>92</v>
      </c>
      <c r="H164" s="33">
        <v>1001</v>
      </c>
      <c r="I164" s="33">
        <v>8566257</v>
      </c>
      <c r="J164" s="24"/>
      <c r="K164" s="25"/>
      <c r="L164" s="25"/>
      <c r="M164" s="25"/>
      <c r="N164" s="26"/>
      <c r="O164" s="36" t="str">
        <f t="shared" si="10"/>
        <v/>
      </c>
      <c r="P164" s="27" t="str">
        <f t="shared" si="11"/>
        <v/>
      </c>
    </row>
    <row r="165" spans="1:16">
      <c r="A165" s="24" t="s">
        <v>255</v>
      </c>
      <c r="B165" s="24" t="s">
        <v>234</v>
      </c>
      <c r="C165" s="24" t="s">
        <v>235</v>
      </c>
      <c r="D165" s="24" t="s">
        <v>236</v>
      </c>
      <c r="E165" s="24" t="s">
        <v>90</v>
      </c>
      <c r="F165" s="24" t="s">
        <v>91</v>
      </c>
      <c r="G165" s="24" t="s">
        <v>92</v>
      </c>
      <c r="H165" s="33">
        <v>1001</v>
      </c>
      <c r="I165" s="33">
        <v>2875613</v>
      </c>
      <c r="J165" s="24"/>
      <c r="K165" s="25"/>
      <c r="L165" s="25"/>
      <c r="M165" s="25"/>
      <c r="N165" s="26"/>
      <c r="O165" s="36" t="str">
        <f t="shared" si="10"/>
        <v/>
      </c>
      <c r="P165" s="27" t="str">
        <f t="shared" si="11"/>
        <v/>
      </c>
    </row>
    <row r="166" spans="1:16">
      <c r="A166" s="24" t="s">
        <v>256</v>
      </c>
      <c r="B166" s="24" t="s">
        <v>234</v>
      </c>
      <c r="C166" s="24" t="s">
        <v>235</v>
      </c>
      <c r="D166" s="24" t="s">
        <v>236</v>
      </c>
      <c r="E166" s="24" t="s">
        <v>90</v>
      </c>
      <c r="F166" s="24" t="s">
        <v>97</v>
      </c>
      <c r="G166" s="24" t="s">
        <v>98</v>
      </c>
      <c r="H166" s="33">
        <v>1000</v>
      </c>
      <c r="I166" s="33">
        <v>8566257</v>
      </c>
      <c r="J166" s="24"/>
      <c r="K166" s="25"/>
      <c r="L166" s="25"/>
      <c r="M166" s="25"/>
      <c r="N166" s="26"/>
      <c r="O166" s="36" t="str">
        <f t="shared" si="10"/>
        <v/>
      </c>
      <c r="P166" s="27" t="str">
        <f t="shared" si="11"/>
        <v/>
      </c>
    </row>
    <row r="167" spans="1:16">
      <c r="A167" s="24" t="s">
        <v>257</v>
      </c>
      <c r="B167" s="24" t="s">
        <v>234</v>
      </c>
      <c r="C167" s="24" t="s">
        <v>235</v>
      </c>
      <c r="D167" s="24" t="s">
        <v>236</v>
      </c>
      <c r="E167" s="24" t="s">
        <v>90</v>
      </c>
      <c r="F167" s="24" t="s">
        <v>97</v>
      </c>
      <c r="G167" s="24" t="s">
        <v>98</v>
      </c>
      <c r="H167" s="33">
        <v>1000</v>
      </c>
      <c r="I167" s="33">
        <v>2875613</v>
      </c>
      <c r="J167" s="24"/>
      <c r="K167" s="25"/>
      <c r="L167" s="25"/>
      <c r="M167" s="25"/>
      <c r="N167" s="26"/>
      <c r="O167" s="36" t="str">
        <f t="shared" si="10"/>
        <v/>
      </c>
      <c r="P167" s="27" t="str">
        <f t="shared" si="11"/>
        <v/>
      </c>
    </row>
    <row r="168" spans="1:16">
      <c r="A168" s="24" t="s">
        <v>258</v>
      </c>
      <c r="B168" s="24" t="s">
        <v>234</v>
      </c>
      <c r="C168" s="24" t="s">
        <v>235</v>
      </c>
      <c r="D168" s="24" t="s">
        <v>236</v>
      </c>
      <c r="E168" s="24" t="s">
        <v>90</v>
      </c>
      <c r="F168" s="24" t="s">
        <v>97</v>
      </c>
      <c r="G168" s="24" t="s">
        <v>98</v>
      </c>
      <c r="H168" s="33">
        <v>1001</v>
      </c>
      <c r="I168" s="33">
        <v>8566257</v>
      </c>
      <c r="J168" s="24"/>
      <c r="K168" s="25"/>
      <c r="L168" s="25"/>
      <c r="M168" s="25"/>
      <c r="N168" s="26"/>
      <c r="O168" s="36" t="str">
        <f t="shared" si="10"/>
        <v/>
      </c>
      <c r="P168" s="27" t="str">
        <f t="shared" si="11"/>
        <v/>
      </c>
    </row>
    <row r="169" spans="1:16">
      <c r="A169" s="28" t="s">
        <v>259</v>
      </c>
      <c r="B169" s="28" t="s">
        <v>234</v>
      </c>
      <c r="C169" s="28" t="s">
        <v>235</v>
      </c>
      <c r="D169" s="28" t="s">
        <v>236</v>
      </c>
      <c r="E169" s="28" t="s">
        <v>90</v>
      </c>
      <c r="F169" s="28" t="s">
        <v>97</v>
      </c>
      <c r="G169" s="28" t="s">
        <v>98</v>
      </c>
      <c r="H169" s="34">
        <v>1001</v>
      </c>
      <c r="I169" s="34">
        <v>2875613</v>
      </c>
      <c r="J169" s="28"/>
      <c r="K169" s="29"/>
      <c r="L169" s="29"/>
      <c r="M169" s="29"/>
      <c r="N169" s="30"/>
      <c r="O169" s="37" t="str">
        <f t="shared" si="10"/>
        <v/>
      </c>
      <c r="P169" s="31" t="str">
        <f t="shared" si="11"/>
        <v/>
      </c>
    </row>
  </sheetData>
  <conditionalFormatting sqref="P2:P169">
    <cfRule type="containsText" dxfId="2" priority="1" operator="containsText" text="agreement"/>
    <cfRule type="containsText" dxfId="1" priority="2" operator="containsText" text="false_"/>
    <cfRule type="containsText" dxfId="0" priority="3" operator="containsText" text="invalid"/>
  </conditionalFormatting>
  <dataValidations count="3">
    <dataValidation type="list" sqref="K2:K169" xr:uid="{00000000-0002-0000-0100-000000000000}">
      <formula1>"yes,no"</formula1>
    </dataValidation>
    <dataValidation type="list" sqref="L2:L169" xr:uid="{00000000-0002-0000-0100-000001000000}">
      <formula1>"none,ambiguous_or_pseudo,clear_meaningful"</formula1>
    </dataValidation>
    <dataValidation type="list" sqref="N2:N169" xr:uid="{00000000-0002-0000-0100-000002000000}">
      <formula1>"yes,no,invalid"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5"/>
  <sheetViews>
    <sheetView showGridLines="0" workbookViewId="0">
      <selection activeCell="J4" sqref="J4"/>
    </sheetView>
  </sheetViews>
  <sheetFormatPr baseColWidth="10" defaultColWidth="8.83203125" defaultRowHeight="15"/>
  <cols>
    <col min="1" max="1" width="11" customWidth="1"/>
    <col min="2" max="2" width="16" customWidth="1"/>
    <col min="3" max="3" width="32" customWidth="1"/>
    <col min="4" max="5" width="12" customWidth="1"/>
    <col min="6" max="6" width="22" customWidth="1"/>
    <col min="7" max="7" width="28" customWidth="1"/>
    <col min="8" max="9" width="13" customWidth="1"/>
    <col min="10" max="10" width="34" customWidth="1"/>
    <col min="11" max="12" width="16" customWidth="1"/>
    <col min="13" max="13" width="36" customWidth="1"/>
  </cols>
  <sheetData>
    <row r="1" spans="1:13" ht="32" customHeight="1">
      <c r="A1" s="11" t="s">
        <v>45</v>
      </c>
      <c r="B1" s="12" t="s">
        <v>46</v>
      </c>
      <c r="C1" s="12" t="s">
        <v>47</v>
      </c>
      <c r="D1" s="12" t="s">
        <v>48</v>
      </c>
      <c r="E1" s="12" t="s">
        <v>49</v>
      </c>
      <c r="F1" s="12" t="s">
        <v>50</v>
      </c>
      <c r="G1" s="12" t="s">
        <v>51</v>
      </c>
      <c r="H1" s="12" t="s">
        <v>52</v>
      </c>
      <c r="I1" s="12" t="s">
        <v>53</v>
      </c>
      <c r="J1" s="12" t="s">
        <v>54</v>
      </c>
      <c r="K1" s="12" t="s">
        <v>260</v>
      </c>
      <c r="L1" s="12" t="s">
        <v>55</v>
      </c>
      <c r="M1" s="13" t="s">
        <v>57</v>
      </c>
    </row>
    <row r="2" spans="1:13">
      <c r="A2" s="14" t="s">
        <v>261</v>
      </c>
      <c r="B2" s="14" t="s">
        <v>262</v>
      </c>
      <c r="C2" s="14" t="s">
        <v>62</v>
      </c>
      <c r="D2" s="14" t="s">
        <v>63</v>
      </c>
      <c r="E2" s="14" t="s">
        <v>64</v>
      </c>
      <c r="F2" s="14" t="s">
        <v>65</v>
      </c>
      <c r="G2" s="14" t="s">
        <v>66</v>
      </c>
      <c r="H2" s="38">
        <v>1000</v>
      </c>
      <c r="I2" s="38">
        <v>8566257</v>
      </c>
      <c r="J2" s="14"/>
      <c r="K2" s="15"/>
      <c r="L2" s="15"/>
      <c r="M2" s="15"/>
    </row>
    <row r="3" spans="1:13">
      <c r="A3" s="16" t="s">
        <v>263</v>
      </c>
      <c r="B3" s="16" t="s">
        <v>262</v>
      </c>
      <c r="C3" s="16" t="s">
        <v>62</v>
      </c>
      <c r="D3" s="16" t="s">
        <v>63</v>
      </c>
      <c r="E3" s="16" t="s">
        <v>64</v>
      </c>
      <c r="F3" s="16" t="s">
        <v>71</v>
      </c>
      <c r="G3" s="16" t="s">
        <v>72</v>
      </c>
      <c r="H3" s="39">
        <v>1001</v>
      </c>
      <c r="I3" s="39">
        <v>2875613</v>
      </c>
      <c r="J3" s="16"/>
      <c r="K3" s="17"/>
      <c r="L3" s="17"/>
      <c r="M3" s="17"/>
    </row>
    <row r="4" spans="1:13">
      <c r="A4" s="16" t="s">
        <v>264</v>
      </c>
      <c r="B4" s="16" t="s">
        <v>262</v>
      </c>
      <c r="C4" s="16" t="s">
        <v>62</v>
      </c>
      <c r="D4" s="16" t="s">
        <v>63</v>
      </c>
      <c r="E4" s="16" t="s">
        <v>77</v>
      </c>
      <c r="F4" s="16" t="s">
        <v>78</v>
      </c>
      <c r="G4" s="16" t="s">
        <v>79</v>
      </c>
      <c r="H4" s="39">
        <v>1000</v>
      </c>
      <c r="I4" s="39">
        <v>8566257</v>
      </c>
      <c r="J4" s="16"/>
      <c r="K4" s="17"/>
      <c r="L4" s="17"/>
      <c r="M4" s="17"/>
    </row>
    <row r="5" spans="1:13">
      <c r="A5" s="16" t="s">
        <v>265</v>
      </c>
      <c r="B5" s="16" t="s">
        <v>262</v>
      </c>
      <c r="C5" s="16" t="s">
        <v>62</v>
      </c>
      <c r="D5" s="16" t="s">
        <v>63</v>
      </c>
      <c r="E5" s="16" t="s">
        <v>77</v>
      </c>
      <c r="F5" s="16" t="s">
        <v>84</v>
      </c>
      <c r="G5" s="16" t="s">
        <v>85</v>
      </c>
      <c r="H5" s="39">
        <v>1001</v>
      </c>
      <c r="I5" s="39">
        <v>2875613</v>
      </c>
      <c r="J5" s="16"/>
      <c r="K5" s="17"/>
      <c r="L5" s="17"/>
      <c r="M5" s="17"/>
    </row>
    <row r="6" spans="1:13">
      <c r="A6" s="16" t="s">
        <v>266</v>
      </c>
      <c r="B6" s="16" t="s">
        <v>262</v>
      </c>
      <c r="C6" s="16" t="s">
        <v>62</v>
      </c>
      <c r="D6" s="16" t="s">
        <v>63</v>
      </c>
      <c r="E6" s="16" t="s">
        <v>90</v>
      </c>
      <c r="F6" s="16" t="s">
        <v>91</v>
      </c>
      <c r="G6" s="16" t="s">
        <v>92</v>
      </c>
      <c r="H6" s="39">
        <v>1000</v>
      </c>
      <c r="I6" s="39">
        <v>8566257</v>
      </c>
      <c r="J6" s="16"/>
      <c r="K6" s="17"/>
      <c r="L6" s="17"/>
      <c r="M6" s="17"/>
    </row>
    <row r="7" spans="1:13">
      <c r="A7" s="16" t="s">
        <v>267</v>
      </c>
      <c r="B7" s="16" t="s">
        <v>262</v>
      </c>
      <c r="C7" s="16" t="s">
        <v>62</v>
      </c>
      <c r="D7" s="16" t="s">
        <v>63</v>
      </c>
      <c r="E7" s="16" t="s">
        <v>90</v>
      </c>
      <c r="F7" s="16" t="s">
        <v>97</v>
      </c>
      <c r="G7" s="16" t="s">
        <v>98</v>
      </c>
      <c r="H7" s="39">
        <v>1001</v>
      </c>
      <c r="I7" s="39">
        <v>2875613</v>
      </c>
      <c r="J7" s="16"/>
      <c r="K7" s="17"/>
      <c r="L7" s="17"/>
      <c r="M7" s="17"/>
    </row>
    <row r="8" spans="1:13">
      <c r="A8" s="16" t="s">
        <v>268</v>
      </c>
      <c r="B8" s="16" t="s">
        <v>262</v>
      </c>
      <c r="C8" s="16" t="s">
        <v>103</v>
      </c>
      <c r="D8" s="16" t="s">
        <v>104</v>
      </c>
      <c r="E8" s="16" t="s">
        <v>64</v>
      </c>
      <c r="F8" s="16" t="s">
        <v>65</v>
      </c>
      <c r="G8" s="16" t="s">
        <v>66</v>
      </c>
      <c r="H8" s="39">
        <v>1000</v>
      </c>
      <c r="I8" s="39">
        <v>8566257</v>
      </c>
      <c r="J8" s="16"/>
      <c r="K8" s="17"/>
      <c r="L8" s="17"/>
      <c r="M8" s="17"/>
    </row>
    <row r="9" spans="1:13">
      <c r="A9" s="16" t="s">
        <v>269</v>
      </c>
      <c r="B9" s="16" t="s">
        <v>262</v>
      </c>
      <c r="C9" s="16" t="s">
        <v>103</v>
      </c>
      <c r="D9" s="16" t="s">
        <v>104</v>
      </c>
      <c r="E9" s="16" t="s">
        <v>64</v>
      </c>
      <c r="F9" s="16" t="s">
        <v>71</v>
      </c>
      <c r="G9" s="16" t="s">
        <v>72</v>
      </c>
      <c r="H9" s="39">
        <v>1001</v>
      </c>
      <c r="I9" s="39">
        <v>2875613</v>
      </c>
      <c r="J9" s="16"/>
      <c r="K9" s="17"/>
      <c r="L9" s="17"/>
      <c r="M9" s="17"/>
    </row>
    <row r="10" spans="1:13">
      <c r="A10" s="16" t="s">
        <v>270</v>
      </c>
      <c r="B10" s="16" t="s">
        <v>262</v>
      </c>
      <c r="C10" s="16" t="s">
        <v>103</v>
      </c>
      <c r="D10" s="16" t="s">
        <v>104</v>
      </c>
      <c r="E10" s="16" t="s">
        <v>77</v>
      </c>
      <c r="F10" s="16" t="s">
        <v>78</v>
      </c>
      <c r="G10" s="16" t="s">
        <v>79</v>
      </c>
      <c r="H10" s="39">
        <v>1000</v>
      </c>
      <c r="I10" s="39">
        <v>8566257</v>
      </c>
      <c r="J10" s="16"/>
      <c r="K10" s="17"/>
      <c r="L10" s="17"/>
      <c r="M10" s="17"/>
    </row>
    <row r="11" spans="1:13">
      <c r="A11" s="16" t="s">
        <v>271</v>
      </c>
      <c r="B11" s="16" t="s">
        <v>262</v>
      </c>
      <c r="C11" s="16" t="s">
        <v>103</v>
      </c>
      <c r="D11" s="16" t="s">
        <v>104</v>
      </c>
      <c r="E11" s="16" t="s">
        <v>77</v>
      </c>
      <c r="F11" s="16" t="s">
        <v>84</v>
      </c>
      <c r="G11" s="16" t="s">
        <v>85</v>
      </c>
      <c r="H11" s="39">
        <v>1001</v>
      </c>
      <c r="I11" s="39">
        <v>2875613</v>
      </c>
      <c r="J11" s="16"/>
      <c r="K11" s="17"/>
      <c r="L11" s="17"/>
      <c r="M11" s="17"/>
    </row>
    <row r="12" spans="1:13">
      <c r="A12" s="16" t="s">
        <v>272</v>
      </c>
      <c r="B12" s="16" t="s">
        <v>262</v>
      </c>
      <c r="C12" s="16" t="s">
        <v>103</v>
      </c>
      <c r="D12" s="16" t="s">
        <v>104</v>
      </c>
      <c r="E12" s="16" t="s">
        <v>90</v>
      </c>
      <c r="F12" s="16" t="s">
        <v>91</v>
      </c>
      <c r="G12" s="16" t="s">
        <v>92</v>
      </c>
      <c r="H12" s="39">
        <v>1000</v>
      </c>
      <c r="I12" s="39">
        <v>8566257</v>
      </c>
      <c r="J12" s="16"/>
      <c r="K12" s="17"/>
      <c r="L12" s="17"/>
      <c r="M12" s="17"/>
    </row>
    <row r="13" spans="1:13">
      <c r="A13" s="16" t="s">
        <v>273</v>
      </c>
      <c r="B13" s="16" t="s">
        <v>262</v>
      </c>
      <c r="C13" s="16" t="s">
        <v>103</v>
      </c>
      <c r="D13" s="16" t="s">
        <v>104</v>
      </c>
      <c r="E13" s="16" t="s">
        <v>90</v>
      </c>
      <c r="F13" s="16" t="s">
        <v>97</v>
      </c>
      <c r="G13" s="16" t="s">
        <v>98</v>
      </c>
      <c r="H13" s="39">
        <v>1001</v>
      </c>
      <c r="I13" s="39">
        <v>2875613</v>
      </c>
      <c r="J13" s="16"/>
      <c r="K13" s="17"/>
      <c r="L13" s="17"/>
      <c r="M13" s="17"/>
    </row>
    <row r="14" spans="1:13">
      <c r="A14" s="16" t="s">
        <v>274</v>
      </c>
      <c r="B14" s="16" t="s">
        <v>262</v>
      </c>
      <c r="C14" s="16" t="s">
        <v>129</v>
      </c>
      <c r="D14" s="16" t="s">
        <v>130</v>
      </c>
      <c r="E14" s="16" t="s">
        <v>64</v>
      </c>
      <c r="F14" s="16" t="s">
        <v>65</v>
      </c>
      <c r="G14" s="16" t="s">
        <v>66</v>
      </c>
      <c r="H14" s="39">
        <v>1000</v>
      </c>
      <c r="I14" s="39">
        <v>8566257</v>
      </c>
      <c r="J14" s="16"/>
      <c r="K14" s="17"/>
      <c r="L14" s="17"/>
      <c r="M14" s="17"/>
    </row>
    <row r="15" spans="1:13">
      <c r="A15" s="16" t="s">
        <v>275</v>
      </c>
      <c r="B15" s="16" t="s">
        <v>262</v>
      </c>
      <c r="C15" s="16" t="s">
        <v>129</v>
      </c>
      <c r="D15" s="16" t="s">
        <v>130</v>
      </c>
      <c r="E15" s="16" t="s">
        <v>64</v>
      </c>
      <c r="F15" s="16" t="s">
        <v>71</v>
      </c>
      <c r="G15" s="16" t="s">
        <v>72</v>
      </c>
      <c r="H15" s="39">
        <v>1001</v>
      </c>
      <c r="I15" s="39">
        <v>2875613</v>
      </c>
      <c r="J15" s="16"/>
      <c r="K15" s="17"/>
      <c r="L15" s="17"/>
      <c r="M15" s="17"/>
    </row>
    <row r="16" spans="1:13">
      <c r="A16" s="16" t="s">
        <v>276</v>
      </c>
      <c r="B16" s="16" t="s">
        <v>262</v>
      </c>
      <c r="C16" s="16" t="s">
        <v>129</v>
      </c>
      <c r="D16" s="16" t="s">
        <v>130</v>
      </c>
      <c r="E16" s="16" t="s">
        <v>77</v>
      </c>
      <c r="F16" s="16" t="s">
        <v>78</v>
      </c>
      <c r="G16" s="16" t="s">
        <v>79</v>
      </c>
      <c r="H16" s="39">
        <v>1000</v>
      </c>
      <c r="I16" s="39">
        <v>8566257</v>
      </c>
      <c r="J16" s="16"/>
      <c r="K16" s="17"/>
      <c r="L16" s="17"/>
      <c r="M16" s="17"/>
    </row>
    <row r="17" spans="1:13">
      <c r="A17" s="16" t="s">
        <v>277</v>
      </c>
      <c r="B17" s="16" t="s">
        <v>262</v>
      </c>
      <c r="C17" s="16" t="s">
        <v>129</v>
      </c>
      <c r="D17" s="16" t="s">
        <v>130</v>
      </c>
      <c r="E17" s="16" t="s">
        <v>77</v>
      </c>
      <c r="F17" s="16" t="s">
        <v>84</v>
      </c>
      <c r="G17" s="16" t="s">
        <v>85</v>
      </c>
      <c r="H17" s="39">
        <v>1001</v>
      </c>
      <c r="I17" s="39">
        <v>2875613</v>
      </c>
      <c r="J17" s="16"/>
      <c r="K17" s="17"/>
      <c r="L17" s="17"/>
      <c r="M17" s="17"/>
    </row>
    <row r="18" spans="1:13">
      <c r="A18" s="16" t="s">
        <v>278</v>
      </c>
      <c r="B18" s="16" t="s">
        <v>262</v>
      </c>
      <c r="C18" s="16" t="s">
        <v>129</v>
      </c>
      <c r="D18" s="16" t="s">
        <v>130</v>
      </c>
      <c r="E18" s="16" t="s">
        <v>90</v>
      </c>
      <c r="F18" s="16" t="s">
        <v>91</v>
      </c>
      <c r="G18" s="16" t="s">
        <v>92</v>
      </c>
      <c r="H18" s="39">
        <v>1000</v>
      </c>
      <c r="I18" s="39">
        <v>8566257</v>
      </c>
      <c r="J18" s="16"/>
      <c r="K18" s="17"/>
      <c r="L18" s="17"/>
      <c r="M18" s="17"/>
    </row>
    <row r="19" spans="1:13">
      <c r="A19" s="16" t="s">
        <v>279</v>
      </c>
      <c r="B19" s="16" t="s">
        <v>262</v>
      </c>
      <c r="C19" s="16" t="s">
        <v>129</v>
      </c>
      <c r="D19" s="16" t="s">
        <v>130</v>
      </c>
      <c r="E19" s="16" t="s">
        <v>90</v>
      </c>
      <c r="F19" s="16" t="s">
        <v>97</v>
      </c>
      <c r="G19" s="16" t="s">
        <v>98</v>
      </c>
      <c r="H19" s="39">
        <v>1001</v>
      </c>
      <c r="I19" s="39">
        <v>2875613</v>
      </c>
      <c r="J19" s="16"/>
      <c r="K19" s="17"/>
      <c r="L19" s="17"/>
      <c r="M19" s="17"/>
    </row>
    <row r="20" spans="1:13">
      <c r="A20" s="16" t="s">
        <v>280</v>
      </c>
      <c r="B20" s="16" t="s">
        <v>262</v>
      </c>
      <c r="C20" s="16" t="s">
        <v>155</v>
      </c>
      <c r="D20" s="16" t="s">
        <v>156</v>
      </c>
      <c r="E20" s="16" t="s">
        <v>64</v>
      </c>
      <c r="F20" s="16" t="s">
        <v>65</v>
      </c>
      <c r="G20" s="16" t="s">
        <v>66</v>
      </c>
      <c r="H20" s="39">
        <v>1000</v>
      </c>
      <c r="I20" s="39">
        <v>8566257</v>
      </c>
      <c r="J20" s="16"/>
      <c r="K20" s="17"/>
      <c r="L20" s="17"/>
      <c r="M20" s="17"/>
    </row>
    <row r="21" spans="1:13">
      <c r="A21" s="16" t="s">
        <v>281</v>
      </c>
      <c r="B21" s="16" t="s">
        <v>262</v>
      </c>
      <c r="C21" s="16" t="s">
        <v>155</v>
      </c>
      <c r="D21" s="16" t="s">
        <v>156</v>
      </c>
      <c r="E21" s="16" t="s">
        <v>64</v>
      </c>
      <c r="F21" s="16" t="s">
        <v>71</v>
      </c>
      <c r="G21" s="16" t="s">
        <v>72</v>
      </c>
      <c r="H21" s="39">
        <v>1001</v>
      </c>
      <c r="I21" s="39">
        <v>2875613</v>
      </c>
      <c r="J21" s="16"/>
      <c r="K21" s="17"/>
      <c r="L21" s="17"/>
      <c r="M21" s="17"/>
    </row>
    <row r="22" spans="1:13">
      <c r="A22" s="16" t="s">
        <v>282</v>
      </c>
      <c r="B22" s="16" t="s">
        <v>262</v>
      </c>
      <c r="C22" s="16" t="s">
        <v>155</v>
      </c>
      <c r="D22" s="16" t="s">
        <v>156</v>
      </c>
      <c r="E22" s="16" t="s">
        <v>77</v>
      </c>
      <c r="F22" s="16" t="s">
        <v>78</v>
      </c>
      <c r="G22" s="16" t="s">
        <v>79</v>
      </c>
      <c r="H22" s="39">
        <v>1000</v>
      </c>
      <c r="I22" s="39">
        <v>8566257</v>
      </c>
      <c r="J22" s="16"/>
      <c r="K22" s="17"/>
      <c r="L22" s="17"/>
      <c r="M22" s="17"/>
    </row>
    <row r="23" spans="1:13">
      <c r="A23" s="16" t="s">
        <v>283</v>
      </c>
      <c r="B23" s="16" t="s">
        <v>262</v>
      </c>
      <c r="C23" s="16" t="s">
        <v>155</v>
      </c>
      <c r="D23" s="16" t="s">
        <v>156</v>
      </c>
      <c r="E23" s="16" t="s">
        <v>77</v>
      </c>
      <c r="F23" s="16" t="s">
        <v>84</v>
      </c>
      <c r="G23" s="16" t="s">
        <v>85</v>
      </c>
      <c r="H23" s="39">
        <v>1001</v>
      </c>
      <c r="I23" s="39">
        <v>2875613</v>
      </c>
      <c r="J23" s="16"/>
      <c r="K23" s="17"/>
      <c r="L23" s="17"/>
      <c r="M23" s="17"/>
    </row>
    <row r="24" spans="1:13">
      <c r="A24" s="16" t="s">
        <v>284</v>
      </c>
      <c r="B24" s="16" t="s">
        <v>262</v>
      </c>
      <c r="C24" s="16" t="s">
        <v>155</v>
      </c>
      <c r="D24" s="16" t="s">
        <v>156</v>
      </c>
      <c r="E24" s="16" t="s">
        <v>90</v>
      </c>
      <c r="F24" s="16" t="s">
        <v>91</v>
      </c>
      <c r="G24" s="16" t="s">
        <v>92</v>
      </c>
      <c r="H24" s="39">
        <v>1000</v>
      </c>
      <c r="I24" s="39">
        <v>8566257</v>
      </c>
      <c r="J24" s="16"/>
      <c r="K24" s="17"/>
      <c r="L24" s="17"/>
      <c r="M24" s="17"/>
    </row>
    <row r="25" spans="1:13">
      <c r="A25" s="18" t="s">
        <v>285</v>
      </c>
      <c r="B25" s="18" t="s">
        <v>262</v>
      </c>
      <c r="C25" s="18" t="s">
        <v>155</v>
      </c>
      <c r="D25" s="18" t="s">
        <v>156</v>
      </c>
      <c r="E25" s="18" t="s">
        <v>90</v>
      </c>
      <c r="F25" s="18" t="s">
        <v>97</v>
      </c>
      <c r="G25" s="18" t="s">
        <v>98</v>
      </c>
      <c r="H25" s="40">
        <v>1001</v>
      </c>
      <c r="I25" s="40">
        <v>2875613</v>
      </c>
      <c r="J25" s="18"/>
      <c r="K25" s="19"/>
      <c r="L25" s="19"/>
      <c r="M25" s="19"/>
    </row>
  </sheetData>
  <dataValidations count="1">
    <dataValidation type="list" sqref="K2:L25" xr:uid="{00000000-0002-0000-02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5"/>
  <sheetViews>
    <sheetView tabSelected="1" workbookViewId="0">
      <selection activeCell="I30" sqref="I30"/>
    </sheetView>
  </sheetViews>
  <sheetFormatPr baseColWidth="10" defaultColWidth="8.83203125" defaultRowHeight="15"/>
  <cols>
    <col min="1" max="1" width="7.83203125" customWidth="1"/>
    <col min="2" max="2" width="10.5" customWidth="1"/>
    <col min="3" max="3" width="21.1640625" customWidth="1"/>
    <col min="4" max="5" width="8.33203125" customWidth="1"/>
    <col min="6" max="6" width="13.83203125" customWidth="1"/>
    <col min="7" max="7" width="21.1640625" customWidth="1"/>
    <col min="8" max="9" width="9.5" customWidth="1"/>
    <col min="10" max="10" width="21.1640625" customWidth="1"/>
    <col min="11" max="12" width="11.1640625" customWidth="1"/>
    <col min="13" max="13" width="24.5" customWidth="1"/>
  </cols>
  <sheetData>
    <row r="1" spans="1:13" ht="21" customHeight="1">
      <c r="A1" t="s">
        <v>45</v>
      </c>
      <c r="B1" t="s">
        <v>46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54</v>
      </c>
      <c r="K1" t="s">
        <v>260</v>
      </c>
      <c r="L1" t="s">
        <v>55</v>
      </c>
      <c r="M1" t="s">
        <v>57</v>
      </c>
    </row>
    <row r="2" spans="1:13" ht="21" customHeight="1">
      <c r="A2" t="s">
        <v>323</v>
      </c>
      <c r="B2" t="s">
        <v>324</v>
      </c>
      <c r="C2" t="s">
        <v>62</v>
      </c>
      <c r="D2" t="s">
        <v>63</v>
      </c>
      <c r="E2" t="s">
        <v>64</v>
      </c>
      <c r="F2" t="s">
        <v>65</v>
      </c>
      <c r="G2" t="s">
        <v>66</v>
      </c>
      <c r="H2">
        <v>1000</v>
      </c>
      <c r="I2">
        <v>8566257</v>
      </c>
    </row>
    <row r="3" spans="1:13" ht="21" customHeight="1">
      <c r="A3" t="s">
        <v>325</v>
      </c>
      <c r="B3" t="s">
        <v>324</v>
      </c>
      <c r="C3" t="s">
        <v>62</v>
      </c>
      <c r="D3" t="s">
        <v>63</v>
      </c>
      <c r="E3" t="s">
        <v>64</v>
      </c>
      <c r="F3" t="s">
        <v>71</v>
      </c>
      <c r="G3" t="s">
        <v>72</v>
      </c>
      <c r="H3">
        <v>1001</v>
      </c>
      <c r="I3">
        <v>2875613</v>
      </c>
    </row>
    <row r="4" spans="1:13" ht="21" customHeight="1">
      <c r="A4" t="s">
        <v>326</v>
      </c>
      <c r="B4" t="s">
        <v>324</v>
      </c>
      <c r="C4" t="s">
        <v>62</v>
      </c>
      <c r="D4" t="s">
        <v>63</v>
      </c>
      <c r="E4" t="s">
        <v>77</v>
      </c>
      <c r="F4" t="s">
        <v>78</v>
      </c>
      <c r="G4" t="s">
        <v>79</v>
      </c>
      <c r="H4">
        <v>1000</v>
      </c>
      <c r="I4">
        <v>8566257</v>
      </c>
    </row>
    <row r="5" spans="1:13" ht="21" customHeight="1">
      <c r="A5" t="s">
        <v>327</v>
      </c>
      <c r="B5" t="s">
        <v>324</v>
      </c>
      <c r="C5" t="s">
        <v>62</v>
      </c>
      <c r="D5" t="s">
        <v>63</v>
      </c>
      <c r="E5" t="s">
        <v>77</v>
      </c>
      <c r="F5" t="s">
        <v>84</v>
      </c>
      <c r="G5" t="s">
        <v>85</v>
      </c>
      <c r="H5">
        <v>1001</v>
      </c>
      <c r="I5">
        <v>2875613</v>
      </c>
    </row>
    <row r="6" spans="1:13" ht="21" customHeight="1">
      <c r="A6" t="s">
        <v>328</v>
      </c>
      <c r="B6" t="s">
        <v>324</v>
      </c>
      <c r="C6" t="s">
        <v>62</v>
      </c>
      <c r="D6" t="s">
        <v>63</v>
      </c>
      <c r="E6" t="s">
        <v>90</v>
      </c>
      <c r="F6" t="s">
        <v>91</v>
      </c>
      <c r="G6" t="s">
        <v>92</v>
      </c>
      <c r="H6">
        <v>1000</v>
      </c>
      <c r="I6">
        <v>8566257</v>
      </c>
    </row>
    <row r="7" spans="1:13" ht="21" customHeight="1">
      <c r="A7" t="s">
        <v>329</v>
      </c>
      <c r="B7" t="s">
        <v>324</v>
      </c>
      <c r="C7" t="s">
        <v>62</v>
      </c>
      <c r="D7" t="s">
        <v>63</v>
      </c>
      <c r="E7" t="s">
        <v>90</v>
      </c>
      <c r="F7" t="s">
        <v>97</v>
      </c>
      <c r="G7" t="s">
        <v>98</v>
      </c>
      <c r="H7">
        <v>1001</v>
      </c>
      <c r="I7">
        <v>2875613</v>
      </c>
    </row>
    <row r="8" spans="1:13" ht="21" customHeight="1">
      <c r="A8" t="s">
        <v>330</v>
      </c>
      <c r="B8" t="s">
        <v>324</v>
      </c>
      <c r="C8" t="s">
        <v>103</v>
      </c>
      <c r="D8" t="s">
        <v>104</v>
      </c>
      <c r="E8" t="s">
        <v>64</v>
      </c>
      <c r="F8" t="s">
        <v>65</v>
      </c>
      <c r="G8" t="s">
        <v>66</v>
      </c>
      <c r="H8">
        <v>1000</v>
      </c>
      <c r="I8">
        <v>8566257</v>
      </c>
    </row>
    <row r="9" spans="1:13" ht="21" customHeight="1">
      <c r="A9" t="s">
        <v>331</v>
      </c>
      <c r="B9" t="s">
        <v>324</v>
      </c>
      <c r="C9" t="s">
        <v>103</v>
      </c>
      <c r="D9" t="s">
        <v>104</v>
      </c>
      <c r="E9" t="s">
        <v>64</v>
      </c>
      <c r="F9" t="s">
        <v>71</v>
      </c>
      <c r="G9" t="s">
        <v>72</v>
      </c>
      <c r="H9">
        <v>1001</v>
      </c>
      <c r="I9">
        <v>2875613</v>
      </c>
    </row>
    <row r="10" spans="1:13" ht="21" customHeight="1">
      <c r="A10" t="s">
        <v>332</v>
      </c>
      <c r="B10" t="s">
        <v>324</v>
      </c>
      <c r="C10" t="s">
        <v>103</v>
      </c>
      <c r="D10" t="s">
        <v>104</v>
      </c>
      <c r="E10" t="s">
        <v>77</v>
      </c>
      <c r="F10" t="s">
        <v>78</v>
      </c>
      <c r="G10" t="s">
        <v>79</v>
      </c>
      <c r="H10">
        <v>1000</v>
      </c>
      <c r="I10">
        <v>8566257</v>
      </c>
    </row>
    <row r="11" spans="1:13" ht="21" customHeight="1">
      <c r="A11" t="s">
        <v>333</v>
      </c>
      <c r="B11" t="s">
        <v>324</v>
      </c>
      <c r="C11" t="s">
        <v>103</v>
      </c>
      <c r="D11" t="s">
        <v>104</v>
      </c>
      <c r="E11" t="s">
        <v>77</v>
      </c>
      <c r="F11" t="s">
        <v>84</v>
      </c>
      <c r="G11" t="s">
        <v>85</v>
      </c>
      <c r="H11">
        <v>1001</v>
      </c>
      <c r="I11">
        <v>2875613</v>
      </c>
    </row>
    <row r="12" spans="1:13" ht="21" customHeight="1">
      <c r="A12" t="s">
        <v>334</v>
      </c>
      <c r="B12" t="s">
        <v>324</v>
      </c>
      <c r="C12" t="s">
        <v>103</v>
      </c>
      <c r="D12" t="s">
        <v>104</v>
      </c>
      <c r="E12" t="s">
        <v>90</v>
      </c>
      <c r="F12" t="s">
        <v>91</v>
      </c>
      <c r="G12" t="s">
        <v>92</v>
      </c>
      <c r="H12">
        <v>1000</v>
      </c>
      <c r="I12">
        <v>8566257</v>
      </c>
    </row>
    <row r="13" spans="1:13" ht="21" customHeight="1">
      <c r="A13" t="s">
        <v>335</v>
      </c>
      <c r="B13" t="s">
        <v>324</v>
      </c>
      <c r="C13" t="s">
        <v>103</v>
      </c>
      <c r="D13" t="s">
        <v>104</v>
      </c>
      <c r="E13" t="s">
        <v>90</v>
      </c>
      <c r="F13" t="s">
        <v>97</v>
      </c>
      <c r="G13" t="s">
        <v>98</v>
      </c>
      <c r="H13">
        <v>1001</v>
      </c>
      <c r="I13">
        <v>2875613</v>
      </c>
    </row>
    <row r="14" spans="1:13" ht="21" customHeight="1">
      <c r="A14" t="s">
        <v>336</v>
      </c>
      <c r="B14" t="s">
        <v>324</v>
      </c>
      <c r="C14" t="s">
        <v>129</v>
      </c>
      <c r="D14" t="s">
        <v>130</v>
      </c>
      <c r="E14" t="s">
        <v>64</v>
      </c>
      <c r="F14" t="s">
        <v>65</v>
      </c>
      <c r="G14" t="s">
        <v>66</v>
      </c>
      <c r="H14">
        <v>1000</v>
      </c>
      <c r="I14">
        <v>8566257</v>
      </c>
    </row>
    <row r="15" spans="1:13" ht="21" customHeight="1">
      <c r="A15" t="s">
        <v>337</v>
      </c>
      <c r="B15" t="s">
        <v>324</v>
      </c>
      <c r="C15" t="s">
        <v>129</v>
      </c>
      <c r="D15" t="s">
        <v>130</v>
      </c>
      <c r="E15" t="s">
        <v>64</v>
      </c>
      <c r="F15" t="s">
        <v>71</v>
      </c>
      <c r="G15" t="s">
        <v>72</v>
      </c>
      <c r="H15">
        <v>1001</v>
      </c>
      <c r="I15">
        <v>2875613</v>
      </c>
    </row>
    <row r="16" spans="1:13" ht="21" customHeight="1">
      <c r="A16" t="s">
        <v>338</v>
      </c>
      <c r="B16" t="s">
        <v>324</v>
      </c>
      <c r="C16" t="s">
        <v>129</v>
      </c>
      <c r="D16" t="s">
        <v>130</v>
      </c>
      <c r="E16" t="s">
        <v>77</v>
      </c>
      <c r="F16" t="s">
        <v>78</v>
      </c>
      <c r="G16" t="s">
        <v>79</v>
      </c>
      <c r="H16">
        <v>1000</v>
      </c>
      <c r="I16">
        <v>8566257</v>
      </c>
    </row>
    <row r="17" spans="1:9" ht="21" customHeight="1">
      <c r="A17" t="s">
        <v>339</v>
      </c>
      <c r="B17" t="s">
        <v>324</v>
      </c>
      <c r="C17" t="s">
        <v>129</v>
      </c>
      <c r="D17" t="s">
        <v>130</v>
      </c>
      <c r="E17" t="s">
        <v>77</v>
      </c>
      <c r="F17" t="s">
        <v>84</v>
      </c>
      <c r="G17" t="s">
        <v>85</v>
      </c>
      <c r="H17">
        <v>1001</v>
      </c>
      <c r="I17">
        <v>2875613</v>
      </c>
    </row>
    <row r="18" spans="1:9" ht="21" customHeight="1">
      <c r="A18" t="s">
        <v>340</v>
      </c>
      <c r="B18" t="s">
        <v>324</v>
      </c>
      <c r="C18" t="s">
        <v>129</v>
      </c>
      <c r="D18" t="s">
        <v>130</v>
      </c>
      <c r="E18" t="s">
        <v>90</v>
      </c>
      <c r="F18" t="s">
        <v>91</v>
      </c>
      <c r="G18" t="s">
        <v>92</v>
      </c>
      <c r="H18">
        <v>1000</v>
      </c>
      <c r="I18">
        <v>8566257</v>
      </c>
    </row>
    <row r="19" spans="1:9" ht="21" customHeight="1">
      <c r="A19" t="s">
        <v>341</v>
      </c>
      <c r="B19" t="s">
        <v>324</v>
      </c>
      <c r="C19" t="s">
        <v>129</v>
      </c>
      <c r="D19" t="s">
        <v>130</v>
      </c>
      <c r="E19" t="s">
        <v>90</v>
      </c>
      <c r="F19" t="s">
        <v>97</v>
      </c>
      <c r="G19" t="s">
        <v>98</v>
      </c>
      <c r="H19">
        <v>1001</v>
      </c>
      <c r="I19">
        <v>2875613</v>
      </c>
    </row>
    <row r="20" spans="1:9" ht="21" customHeight="1">
      <c r="A20" t="s">
        <v>342</v>
      </c>
      <c r="B20" t="s">
        <v>324</v>
      </c>
      <c r="C20" t="s">
        <v>155</v>
      </c>
      <c r="D20" t="s">
        <v>156</v>
      </c>
      <c r="E20" t="s">
        <v>64</v>
      </c>
      <c r="F20" t="s">
        <v>65</v>
      </c>
      <c r="G20" t="s">
        <v>66</v>
      </c>
      <c r="H20">
        <v>1000</v>
      </c>
      <c r="I20">
        <v>8566257</v>
      </c>
    </row>
    <row r="21" spans="1:9" ht="21" customHeight="1">
      <c r="A21" t="s">
        <v>343</v>
      </c>
      <c r="B21" t="s">
        <v>324</v>
      </c>
      <c r="C21" t="s">
        <v>155</v>
      </c>
      <c r="D21" t="s">
        <v>156</v>
      </c>
      <c r="E21" t="s">
        <v>64</v>
      </c>
      <c r="F21" t="s">
        <v>71</v>
      </c>
      <c r="G21" t="s">
        <v>72</v>
      </c>
      <c r="H21">
        <v>1001</v>
      </c>
      <c r="I21">
        <v>2875613</v>
      </c>
    </row>
    <row r="22" spans="1:9" ht="21" customHeight="1">
      <c r="A22" t="s">
        <v>344</v>
      </c>
      <c r="B22" t="s">
        <v>324</v>
      </c>
      <c r="C22" t="s">
        <v>155</v>
      </c>
      <c r="D22" t="s">
        <v>156</v>
      </c>
      <c r="E22" t="s">
        <v>77</v>
      </c>
      <c r="F22" t="s">
        <v>78</v>
      </c>
      <c r="G22" t="s">
        <v>79</v>
      </c>
      <c r="H22">
        <v>1000</v>
      </c>
      <c r="I22">
        <v>8566257</v>
      </c>
    </row>
    <row r="23" spans="1:9" ht="21" customHeight="1">
      <c r="A23" t="s">
        <v>345</v>
      </c>
      <c r="B23" t="s">
        <v>324</v>
      </c>
      <c r="C23" t="s">
        <v>155</v>
      </c>
      <c r="D23" t="s">
        <v>156</v>
      </c>
      <c r="E23" t="s">
        <v>77</v>
      </c>
      <c r="F23" t="s">
        <v>84</v>
      </c>
      <c r="G23" t="s">
        <v>85</v>
      </c>
      <c r="H23">
        <v>1001</v>
      </c>
      <c r="I23">
        <v>2875613</v>
      </c>
    </row>
    <row r="24" spans="1:9" ht="21" customHeight="1">
      <c r="A24" t="s">
        <v>346</v>
      </c>
      <c r="B24" t="s">
        <v>324</v>
      </c>
      <c r="C24" t="s">
        <v>155</v>
      </c>
      <c r="D24" t="s">
        <v>156</v>
      </c>
      <c r="E24" t="s">
        <v>90</v>
      </c>
      <c r="F24" t="s">
        <v>91</v>
      </c>
      <c r="G24" t="s">
        <v>92</v>
      </c>
      <c r="H24">
        <v>1000</v>
      </c>
      <c r="I24">
        <v>8566257</v>
      </c>
    </row>
    <row r="25" spans="1:9" ht="21" customHeight="1">
      <c r="A25" t="s">
        <v>347</v>
      </c>
      <c r="B25" t="s">
        <v>324</v>
      </c>
      <c r="C25" t="s">
        <v>155</v>
      </c>
      <c r="D25" t="s">
        <v>156</v>
      </c>
      <c r="E25" t="s">
        <v>90</v>
      </c>
      <c r="F25" t="s">
        <v>97</v>
      </c>
      <c r="G25" t="s">
        <v>98</v>
      </c>
      <c r="H25">
        <v>1001</v>
      </c>
      <c r="I25">
        <v>2875613</v>
      </c>
    </row>
  </sheetData>
  <dataValidations count="1">
    <dataValidation type="list" sqref="K2:L25" xr:uid="{00000000-0002-0000-04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6"/>
  <sheetViews>
    <sheetView showGridLines="0" topLeftCell="A17" workbookViewId="0">
      <selection activeCell="B23" sqref="B23"/>
    </sheetView>
  </sheetViews>
  <sheetFormatPr baseColWidth="10" defaultColWidth="8.83203125" defaultRowHeight="15"/>
  <cols>
    <col min="1" max="1" width="29" customWidth="1"/>
    <col min="2" max="3" width="14" customWidth="1"/>
    <col min="4" max="7" width="16" customWidth="1"/>
  </cols>
  <sheetData>
    <row r="1" spans="1:7" ht="30" customHeight="1">
      <c r="A1" s="47" t="s">
        <v>286</v>
      </c>
      <c r="B1" s="47" t="s">
        <v>286</v>
      </c>
      <c r="C1" s="47" t="s">
        <v>286</v>
      </c>
      <c r="D1" s="47" t="s">
        <v>286</v>
      </c>
      <c r="E1" s="47" t="s">
        <v>286</v>
      </c>
      <c r="F1" s="47" t="s">
        <v>286</v>
      </c>
      <c r="G1" s="47" t="s">
        <v>286</v>
      </c>
    </row>
    <row r="3" spans="1:7">
      <c r="A3" t="s">
        <v>43</v>
      </c>
      <c r="B3" s="41">
        <v>1.959963984540054</v>
      </c>
    </row>
    <row r="5" spans="1:7" ht="32" customHeight="1">
      <c r="A5" s="11" t="s">
        <v>287</v>
      </c>
      <c r="B5" s="12" t="s">
        <v>288</v>
      </c>
      <c r="C5" s="12" t="s">
        <v>289</v>
      </c>
      <c r="D5" s="13" t="s">
        <v>290</v>
      </c>
    </row>
    <row r="6" spans="1:7">
      <c r="A6" s="14" t="s">
        <v>291</v>
      </c>
      <c r="B6" s="14">
        <f>COUNTIF(Verifier_168!$K$2:$K$169,"&lt;&gt;")</f>
        <v>0</v>
      </c>
      <c r="C6" s="14">
        <v>168</v>
      </c>
      <c r="D6" s="43">
        <f>B6/C6</f>
        <v>0</v>
      </c>
    </row>
    <row r="7" spans="1:7">
      <c r="A7" s="16" t="s">
        <v>292</v>
      </c>
      <c r="B7" s="16">
        <f>COUNTIF(Verifier_168!$N$2:$N$169,"&lt;&gt;")</f>
        <v>0</v>
      </c>
      <c r="C7" s="16">
        <v>168</v>
      </c>
      <c r="D7" s="44">
        <f>B7/C7</f>
        <v>0</v>
      </c>
    </row>
    <row r="8" spans="1:7">
      <c r="A8" s="16" t="s">
        <v>293</v>
      </c>
      <c r="B8" s="16">
        <f>COUNTIF(Style_24!$K$2:$K$25,"&lt;&gt;")</f>
        <v>0</v>
      </c>
      <c r="C8" s="16">
        <v>24</v>
      </c>
      <c r="D8" s="44">
        <f>B8/C8</f>
        <v>0</v>
      </c>
    </row>
    <row r="9" spans="1:7">
      <c r="A9" s="18" t="s">
        <v>294</v>
      </c>
      <c r="B9" s="18">
        <f>COUNTIF(Style_24!$L$2:$L$25,"&lt;&gt;")</f>
        <v>0</v>
      </c>
      <c r="C9" s="18">
        <v>24</v>
      </c>
      <c r="D9" s="45">
        <f>B9/C9</f>
        <v>0</v>
      </c>
    </row>
    <row r="11" spans="1:7" ht="32" customHeight="1">
      <c r="A11" s="11" t="s">
        <v>295</v>
      </c>
      <c r="B11" s="12" t="s">
        <v>296</v>
      </c>
      <c r="C11" s="12" t="s">
        <v>290</v>
      </c>
      <c r="D11" s="12" t="s">
        <v>297</v>
      </c>
      <c r="E11" s="13" t="s">
        <v>298</v>
      </c>
    </row>
    <row r="12" spans="1:7">
      <c r="A12" s="14" t="s">
        <v>299</v>
      </c>
      <c r="B12" s="14">
        <f>COUNTIFS(Verifier_168!$K$2:$K$169,"&lt;&gt;",Verifier_168!$N$2:$N$169,"&lt;&gt;")</f>
        <v>0</v>
      </c>
      <c r="C12" s="43">
        <f>B12/168</f>
        <v>0</v>
      </c>
      <c r="D12" s="43"/>
      <c r="E12" s="43"/>
    </row>
    <row r="13" spans="1:7">
      <c r="A13" s="16" t="s">
        <v>300</v>
      </c>
      <c r="B13" s="16">
        <f>COUNTIF(Verifier_168!$P$2:$P$169,"agreement")</f>
        <v>0</v>
      </c>
      <c r="C13" s="44" t="str">
        <f>IF(B12=0,"",B13/B12)</f>
        <v/>
      </c>
      <c r="D13" s="44" t="str">
        <f>IF(B12=0,"",((C13+$B$3^2/(2*B12))/(1+$B$3^2/B12))-$B$3*SQRT((C13*(1-C13)/B12+$B$3^2/(4*B12^2))/(1+$B$3^2/B12)^2))</f>
        <v/>
      </c>
      <c r="E13" s="44" t="str">
        <f>IF(B12=0,"",((C13+$B$3^2/(2*B12))/(1+$B$3^2/B12))+$B$3*SQRT((C13*(1-C13)/B12+$B$3^2/(4*B12^2))/(1+$B$3^2/B12)^2))</f>
        <v/>
      </c>
    </row>
    <row r="14" spans="1:7">
      <c r="A14" s="16" t="s">
        <v>301</v>
      </c>
      <c r="B14" s="16">
        <f>COUNTIF(Verifier_168!$P$2:$P$169,"false_accept")</f>
        <v>0</v>
      </c>
      <c r="C14" s="44" t="str">
        <f>IF(B12=0,"",B14/B12)</f>
        <v/>
      </c>
      <c r="D14" s="44"/>
      <c r="E14" s="44"/>
    </row>
    <row r="15" spans="1:7">
      <c r="A15" s="16" t="s">
        <v>302</v>
      </c>
      <c r="B15" s="16">
        <f>COUNTIF(Verifier_168!$P$2:$P$169,"false_reject")</f>
        <v>0</v>
      </c>
      <c r="C15" s="44" t="str">
        <f>IF(B12=0,"",B15/B12)</f>
        <v/>
      </c>
      <c r="D15" s="44"/>
      <c r="E15" s="44"/>
    </row>
    <row r="16" spans="1:7">
      <c r="A16" s="16" t="s">
        <v>303</v>
      </c>
      <c r="B16" s="16">
        <f>COUNTIF(Verifier_168!$P$2:$P$169,"invalid")</f>
        <v>0</v>
      </c>
      <c r="C16" s="44" t="str">
        <f>IF(B12=0,"",B16/B12)</f>
        <v/>
      </c>
      <c r="D16" s="44"/>
      <c r="E16" s="44"/>
    </row>
    <row r="17" spans="1:7">
      <c r="A17" s="16" t="s">
        <v>304</v>
      </c>
      <c r="B17" s="16">
        <f>B12-B16</f>
        <v>0</v>
      </c>
      <c r="C17" s="44" t="str">
        <f>IF(B12=0,"",B17/B12)</f>
        <v/>
      </c>
      <c r="D17" s="44"/>
      <c r="E17" s="44"/>
    </row>
    <row r="18" spans="1:7">
      <c r="A18" s="18" t="s">
        <v>305</v>
      </c>
      <c r="B18" s="18">
        <f>B13</f>
        <v>0</v>
      </c>
      <c r="C18" s="45" t="str">
        <f>IF(B17=0,"",B18/B17)</f>
        <v/>
      </c>
      <c r="D18" s="45"/>
      <c r="E18" s="45"/>
    </row>
    <row r="20" spans="1:7" ht="32" customHeight="1">
      <c r="A20" s="11" t="s">
        <v>306</v>
      </c>
      <c r="B20" s="12" t="s">
        <v>307</v>
      </c>
      <c r="C20" s="12" t="s">
        <v>58</v>
      </c>
      <c r="D20" s="12" t="s">
        <v>308</v>
      </c>
      <c r="E20" s="12" t="s">
        <v>309</v>
      </c>
      <c r="F20" s="12" t="s">
        <v>310</v>
      </c>
      <c r="G20" s="13" t="s">
        <v>311</v>
      </c>
    </row>
    <row r="21" spans="1:7">
      <c r="A21" s="14" t="s">
        <v>63</v>
      </c>
      <c r="B21" s="14">
        <f>COUNTIFS(Verifier_168!$D$2:$D$169,A21,Verifier_168!$K$2:$K$169,"&lt;&gt;",Verifier_168!$N$2:$N$169,"&lt;&gt;")</f>
        <v>0</v>
      </c>
      <c r="C21" s="14">
        <f>COUNTIFS(Verifier_168!$D$2:$D$169,A21,Verifier_168!$P$2:$P$169,"agreement")</f>
        <v>0</v>
      </c>
      <c r="D21" s="43" t="str">
        <f t="shared" ref="D21:D27" si="0">IF(B21=0,"",C21/B21)</f>
        <v/>
      </c>
      <c r="E21" s="14">
        <f>COUNTIFS(Verifier_168!$D$2:$D$169,A21,Verifier_168!$P$2:$P$169,"false_accept")</f>
        <v>0</v>
      </c>
      <c r="F21" s="14">
        <f>COUNTIFS(Verifier_168!$D$2:$D$169,A21,Verifier_168!$P$2:$P$169,"false_reject")</f>
        <v>0</v>
      </c>
      <c r="G21" s="14">
        <f>COUNTIFS(Verifier_168!$D$2:$D$169,A21,Verifier_168!$P$2:$P$169,"invalid")</f>
        <v>0</v>
      </c>
    </row>
    <row r="22" spans="1:7">
      <c r="A22" s="16" t="s">
        <v>104</v>
      </c>
      <c r="B22" s="16">
        <f>COUNTIFS(Verifier_168!$D$2:$D$169,A22,Verifier_168!$K$2:$K$169,"&lt;&gt;",Verifier_168!$N$2:$N$169,"&lt;&gt;")</f>
        <v>0</v>
      </c>
      <c r="C22" s="16">
        <f>COUNTIFS(Verifier_168!$D$2:$D$169,A22,Verifier_168!$P$2:$P$169,"agreement")</f>
        <v>0</v>
      </c>
      <c r="D22" s="44" t="str">
        <f t="shared" si="0"/>
        <v/>
      </c>
      <c r="E22" s="16">
        <f>COUNTIFS(Verifier_168!$D$2:$D$169,A22,Verifier_168!$P$2:$P$169,"false_accept")</f>
        <v>0</v>
      </c>
      <c r="F22" s="16">
        <f>COUNTIFS(Verifier_168!$D$2:$D$169,A22,Verifier_168!$P$2:$P$169,"false_reject")</f>
        <v>0</v>
      </c>
      <c r="G22" s="16">
        <f>COUNTIFS(Verifier_168!$D$2:$D$169,A22,Verifier_168!$P$2:$P$169,"invalid")</f>
        <v>0</v>
      </c>
    </row>
    <row r="23" spans="1:7">
      <c r="A23" s="16" t="s">
        <v>130</v>
      </c>
      <c r="B23" s="16">
        <f>COUNTIFS(Verifier_168!$D$2:$D$169,A23,Verifier_168!$K$2:$K$169,"&lt;&gt;",Verifier_168!$N$2:$N$169,"&lt;&gt;")</f>
        <v>0</v>
      </c>
      <c r="C23" s="16">
        <f>COUNTIFS(Verifier_168!$D$2:$D$169,A23,Verifier_168!$P$2:$P$169,"agreement")</f>
        <v>0</v>
      </c>
      <c r="D23" s="44" t="str">
        <f t="shared" si="0"/>
        <v/>
      </c>
      <c r="E23" s="16">
        <f>COUNTIFS(Verifier_168!$D$2:$D$169,A23,Verifier_168!$P$2:$P$169,"false_accept")</f>
        <v>0</v>
      </c>
      <c r="F23" s="16">
        <f>COUNTIFS(Verifier_168!$D$2:$D$169,A23,Verifier_168!$P$2:$P$169,"false_reject")</f>
        <v>0</v>
      </c>
      <c r="G23" s="16">
        <f>COUNTIFS(Verifier_168!$D$2:$D$169,A23,Verifier_168!$P$2:$P$169,"invalid")</f>
        <v>0</v>
      </c>
    </row>
    <row r="24" spans="1:7">
      <c r="A24" s="16" t="s">
        <v>156</v>
      </c>
      <c r="B24" s="16">
        <f>COUNTIFS(Verifier_168!$D$2:$D$169,A24,Verifier_168!$K$2:$K$169,"&lt;&gt;",Verifier_168!$N$2:$N$169,"&lt;&gt;")</f>
        <v>0</v>
      </c>
      <c r="C24" s="16">
        <f>COUNTIFS(Verifier_168!$D$2:$D$169,A24,Verifier_168!$P$2:$P$169,"agreement")</f>
        <v>0</v>
      </c>
      <c r="D24" s="44" t="str">
        <f t="shared" si="0"/>
        <v/>
      </c>
      <c r="E24" s="16">
        <f>COUNTIFS(Verifier_168!$D$2:$D$169,A24,Verifier_168!$P$2:$P$169,"false_accept")</f>
        <v>0</v>
      </c>
      <c r="F24" s="16">
        <f>COUNTIFS(Verifier_168!$D$2:$D$169,A24,Verifier_168!$P$2:$P$169,"false_reject")</f>
        <v>0</v>
      </c>
      <c r="G24" s="16">
        <f>COUNTIFS(Verifier_168!$D$2:$D$169,A24,Verifier_168!$P$2:$P$169,"invalid")</f>
        <v>0</v>
      </c>
    </row>
    <row r="25" spans="1:7">
      <c r="A25" s="16" t="s">
        <v>183</v>
      </c>
      <c r="B25" s="16">
        <f>COUNTIFS(Verifier_168!$D$2:$D$169,A25,Verifier_168!$K$2:$K$169,"&lt;&gt;",Verifier_168!$N$2:$N$169,"&lt;&gt;")</f>
        <v>0</v>
      </c>
      <c r="C25" s="16">
        <f>COUNTIFS(Verifier_168!$D$2:$D$169,A25,Verifier_168!$P$2:$P$169,"agreement")</f>
        <v>0</v>
      </c>
      <c r="D25" s="44" t="str">
        <f t="shared" si="0"/>
        <v/>
      </c>
      <c r="E25" s="16">
        <f>COUNTIFS(Verifier_168!$D$2:$D$169,A25,Verifier_168!$P$2:$P$169,"false_accept")</f>
        <v>0</v>
      </c>
      <c r="F25" s="16">
        <f>COUNTIFS(Verifier_168!$D$2:$D$169,A25,Verifier_168!$P$2:$P$169,"false_reject")</f>
        <v>0</v>
      </c>
      <c r="G25" s="16">
        <f>COUNTIFS(Verifier_168!$D$2:$D$169,A25,Verifier_168!$P$2:$P$169,"invalid")</f>
        <v>0</v>
      </c>
    </row>
    <row r="26" spans="1:7">
      <c r="A26" s="16" t="s">
        <v>209</v>
      </c>
      <c r="B26" s="16">
        <f>COUNTIFS(Verifier_168!$D$2:$D$169,A26,Verifier_168!$K$2:$K$169,"&lt;&gt;",Verifier_168!$N$2:$N$169,"&lt;&gt;")</f>
        <v>0</v>
      </c>
      <c r="C26" s="16">
        <f>COUNTIFS(Verifier_168!$D$2:$D$169,A26,Verifier_168!$P$2:$P$169,"agreement")</f>
        <v>0</v>
      </c>
      <c r="D26" s="44" t="str">
        <f t="shared" si="0"/>
        <v/>
      </c>
      <c r="E26" s="16">
        <f>COUNTIFS(Verifier_168!$D$2:$D$169,A26,Verifier_168!$P$2:$P$169,"false_accept")</f>
        <v>0</v>
      </c>
      <c r="F26" s="16">
        <f>COUNTIFS(Verifier_168!$D$2:$D$169,A26,Verifier_168!$P$2:$P$169,"false_reject")</f>
        <v>0</v>
      </c>
      <c r="G26" s="16">
        <f>COUNTIFS(Verifier_168!$D$2:$D$169,A26,Verifier_168!$P$2:$P$169,"invalid")</f>
        <v>0</v>
      </c>
    </row>
    <row r="27" spans="1:7">
      <c r="A27" s="18" t="s">
        <v>236</v>
      </c>
      <c r="B27" s="18">
        <f>COUNTIFS(Verifier_168!$D$2:$D$169,A27,Verifier_168!$K$2:$K$169,"&lt;&gt;",Verifier_168!$N$2:$N$169,"&lt;&gt;")</f>
        <v>0</v>
      </c>
      <c r="C27" s="18">
        <f>COUNTIFS(Verifier_168!$D$2:$D$169,A27,Verifier_168!$P$2:$P$169,"agreement")</f>
        <v>0</v>
      </c>
      <c r="D27" s="45" t="str">
        <f t="shared" si="0"/>
        <v/>
      </c>
      <c r="E27" s="18">
        <f>COUNTIFS(Verifier_168!$D$2:$D$169,A27,Verifier_168!$P$2:$P$169,"false_accept")</f>
        <v>0</v>
      </c>
      <c r="F27" s="18">
        <f>COUNTIFS(Verifier_168!$D$2:$D$169,A27,Verifier_168!$P$2:$P$169,"false_reject")</f>
        <v>0</v>
      </c>
      <c r="G27" s="18">
        <f>COUNTIFS(Verifier_168!$D$2:$D$169,A27,Verifier_168!$P$2:$P$169,"invalid")</f>
        <v>0</v>
      </c>
    </row>
    <row r="29" spans="1:7" ht="32" customHeight="1">
      <c r="A29" s="11" t="s">
        <v>312</v>
      </c>
      <c r="B29" s="12" t="s">
        <v>307</v>
      </c>
      <c r="C29" s="12" t="s">
        <v>58</v>
      </c>
      <c r="D29" s="12" t="s">
        <v>308</v>
      </c>
      <c r="E29" s="12" t="s">
        <v>309</v>
      </c>
      <c r="F29" s="12" t="s">
        <v>310</v>
      </c>
      <c r="G29" s="13" t="s">
        <v>311</v>
      </c>
    </row>
    <row r="30" spans="1:7">
      <c r="A30" s="14" t="s">
        <v>64</v>
      </c>
      <c r="B30" s="14">
        <f>COUNTIFS(Verifier_168!$E$2:$E$169,A30,Verifier_168!$K$2:$K$169,"&lt;&gt;",Verifier_168!$N$2:$N$169,"&lt;&gt;")</f>
        <v>0</v>
      </c>
      <c r="C30" s="14">
        <f>COUNTIFS(Verifier_168!$E$2:$E$169,A30,Verifier_168!$P$2:$P$169,"agreement")</f>
        <v>0</v>
      </c>
      <c r="D30" s="43" t="str">
        <f>IF(B30=0,"",C30/B30)</f>
        <v/>
      </c>
      <c r="E30" s="14">
        <f>COUNTIFS(Verifier_168!$E$2:$E$169,A30,Verifier_168!$P$2:$P$169,"false_accept")</f>
        <v>0</v>
      </c>
      <c r="F30" s="14">
        <f>COUNTIFS(Verifier_168!$E$2:$E$169,A30,Verifier_168!$P$2:$P$169,"false_reject")</f>
        <v>0</v>
      </c>
      <c r="G30" s="14">
        <f>COUNTIFS(Verifier_168!$E$2:$E$169,A30,Verifier_168!$P$2:$P$169,"invalid")</f>
        <v>0</v>
      </c>
    </row>
    <row r="31" spans="1:7">
      <c r="A31" s="16" t="s">
        <v>77</v>
      </c>
      <c r="B31" s="16">
        <f>COUNTIFS(Verifier_168!$E$2:$E$169,A31,Verifier_168!$K$2:$K$169,"&lt;&gt;",Verifier_168!$N$2:$N$169,"&lt;&gt;")</f>
        <v>0</v>
      </c>
      <c r="C31" s="16">
        <f>COUNTIFS(Verifier_168!$E$2:$E$169,A31,Verifier_168!$P$2:$P$169,"agreement")</f>
        <v>0</v>
      </c>
      <c r="D31" s="44" t="str">
        <f>IF(B31=0,"",C31/B31)</f>
        <v/>
      </c>
      <c r="E31" s="16">
        <f>COUNTIFS(Verifier_168!$E$2:$E$169,A31,Verifier_168!$P$2:$P$169,"false_accept")</f>
        <v>0</v>
      </c>
      <c r="F31" s="16">
        <f>COUNTIFS(Verifier_168!$E$2:$E$169,A31,Verifier_168!$P$2:$P$169,"false_reject")</f>
        <v>0</v>
      </c>
      <c r="G31" s="16">
        <f>COUNTIFS(Verifier_168!$E$2:$E$169,A31,Verifier_168!$P$2:$P$169,"invalid")</f>
        <v>0</v>
      </c>
    </row>
    <row r="32" spans="1:7">
      <c r="A32" s="18" t="s">
        <v>90</v>
      </c>
      <c r="B32" s="18">
        <f>COUNTIFS(Verifier_168!$E$2:$E$169,A32,Verifier_168!$K$2:$K$169,"&lt;&gt;",Verifier_168!$N$2:$N$169,"&lt;&gt;")</f>
        <v>0</v>
      </c>
      <c r="C32" s="18">
        <f>COUNTIFS(Verifier_168!$E$2:$E$169,A32,Verifier_168!$P$2:$P$169,"agreement")</f>
        <v>0</v>
      </c>
      <c r="D32" s="45" t="str">
        <f>IF(B32=0,"",C32/B32)</f>
        <v/>
      </c>
      <c r="E32" s="18">
        <f>COUNTIFS(Verifier_168!$E$2:$E$169,A32,Verifier_168!$P$2:$P$169,"false_accept")</f>
        <v>0</v>
      </c>
      <c r="F32" s="18">
        <f>COUNTIFS(Verifier_168!$E$2:$E$169,A32,Verifier_168!$P$2:$P$169,"false_reject")</f>
        <v>0</v>
      </c>
      <c r="G32" s="18">
        <f>COUNTIFS(Verifier_168!$E$2:$E$169,A32,Verifier_168!$P$2:$P$169,"invalid")</f>
        <v>0</v>
      </c>
    </row>
    <row r="35" spans="1:5" ht="32" customHeight="1">
      <c r="A35" s="11" t="s">
        <v>313</v>
      </c>
      <c r="B35" s="12" t="s">
        <v>296</v>
      </c>
      <c r="C35" s="12" t="s">
        <v>290</v>
      </c>
      <c r="D35" s="12" t="s">
        <v>297</v>
      </c>
      <c r="E35" s="13" t="s">
        <v>298</v>
      </c>
    </row>
    <row r="36" spans="1:5">
      <c r="A36" s="14" t="s">
        <v>314</v>
      </c>
      <c r="B36" s="14">
        <f>COUNTIF(Style_24!$K$2:$K$25,"&lt;&gt;")</f>
        <v>0</v>
      </c>
      <c r="C36" s="43">
        <f>B36/24</f>
        <v>0</v>
      </c>
      <c r="D36" s="43"/>
      <c r="E36" s="43"/>
    </row>
    <row r="37" spans="1:5">
      <c r="A37" s="16" t="s">
        <v>315</v>
      </c>
      <c r="B37" s="16">
        <f>COUNTIF(Style_24!$K$2:$K$25,"yes")</f>
        <v>0</v>
      </c>
      <c r="C37" s="44" t="str">
        <f>IF(B36=0,"",B37/B36)</f>
        <v/>
      </c>
      <c r="D37" s="44" t="str">
        <f>IF(B36=0,"",((C37+$B$3^2/(2*B36))/(1+$B$3^2/B36))-$B$3*SQRT((C37*(1-C37)/B36+$B$3^2/(4*B36^2))/(1+$B$3^2/B36)^2))</f>
        <v/>
      </c>
      <c r="E37" s="44" t="str">
        <f>IF(B36=0,"",((C37+$B$3^2/(2*B36))/(1+$B$3^2/B36))+$B$3*SQRT((C37*(1-C37)/B36+$B$3^2/(4*B36^2))/(1+$B$3^2/B36)^2))</f>
        <v/>
      </c>
    </row>
    <row r="38" spans="1:5">
      <c r="A38" s="18" t="s">
        <v>316</v>
      </c>
      <c r="B38" s="18">
        <f>COUNTIF(Style_24!$L$2:$L$25,"yes")</f>
        <v>0</v>
      </c>
      <c r="C38" s="45" t="str">
        <f>IF(COUNTIF(Style_24!$L$2:$L$25,"&lt;&gt;")=0,"",B38/COUNTIF(Style_24!$L$2:$L$25,"&lt;&gt;"))</f>
        <v/>
      </c>
      <c r="D38" s="45"/>
      <c r="E38" s="45"/>
    </row>
    <row r="40" spans="1:5" ht="32" customHeight="1">
      <c r="A40" s="11" t="s">
        <v>317</v>
      </c>
      <c r="B40" s="12" t="s">
        <v>307</v>
      </c>
      <c r="C40" s="12" t="s">
        <v>318</v>
      </c>
      <c r="D40" s="13" t="s">
        <v>308</v>
      </c>
    </row>
    <row r="41" spans="1:5">
      <c r="A41" s="14" t="s">
        <v>63</v>
      </c>
      <c r="B41" s="14">
        <f>COUNTIFS(Style_24!$D$2:$D$25,A41,Style_24!$K$2:$K$25,"&lt;&gt;")</f>
        <v>0</v>
      </c>
      <c r="C41" s="14">
        <f>COUNTIFS(Style_24!$D$2:$D$25,A41,Style_24!$K$2:$K$25,"yes")</f>
        <v>0</v>
      </c>
      <c r="D41" s="43" t="str">
        <f>IF(B41=0,"",C41/B41)</f>
        <v/>
      </c>
    </row>
    <row r="42" spans="1:5">
      <c r="A42" s="16" t="s">
        <v>104</v>
      </c>
      <c r="B42" s="16">
        <f>COUNTIFS(Style_24!$D$2:$D$25,A42,Style_24!$K$2:$K$25,"&lt;&gt;")</f>
        <v>0</v>
      </c>
      <c r="C42" s="16">
        <f>COUNTIFS(Style_24!$D$2:$D$25,A42,Style_24!$K$2:$K$25,"yes")</f>
        <v>0</v>
      </c>
      <c r="D42" s="44" t="str">
        <f>IF(B42=0,"",C42/B42)</f>
        <v/>
      </c>
    </row>
    <row r="43" spans="1:5">
      <c r="A43" s="16" t="s">
        <v>130</v>
      </c>
      <c r="B43" s="16">
        <f>COUNTIFS(Style_24!$D$2:$D$25,A43,Style_24!$K$2:$K$25,"&lt;&gt;")</f>
        <v>0</v>
      </c>
      <c r="C43" s="16">
        <f>COUNTIFS(Style_24!$D$2:$D$25,A43,Style_24!$K$2:$K$25,"yes")</f>
        <v>0</v>
      </c>
      <c r="D43" s="44" t="str">
        <f>IF(B43=0,"",C43/B43)</f>
        <v/>
      </c>
    </row>
    <row r="44" spans="1:5">
      <c r="A44" s="18" t="s">
        <v>156</v>
      </c>
      <c r="B44" s="18">
        <f>COUNTIFS(Style_24!$D$2:$D$25,A44,Style_24!$K$2:$K$25,"&lt;&gt;")</f>
        <v>0</v>
      </c>
      <c r="C44" s="18">
        <f>COUNTIFS(Style_24!$D$2:$D$25,A44,Style_24!$K$2:$K$25,"yes")</f>
        <v>0</v>
      </c>
      <c r="D44" s="45" t="str">
        <f>IF(B44=0,"",C44/B44)</f>
        <v/>
      </c>
    </row>
    <row r="46" spans="1:5" ht="32" customHeight="1">
      <c r="A46" s="11" t="s">
        <v>319</v>
      </c>
      <c r="B46" s="12" t="s">
        <v>307</v>
      </c>
      <c r="C46" s="12" t="s">
        <v>318</v>
      </c>
      <c r="D46" s="13" t="s">
        <v>308</v>
      </c>
    </row>
    <row r="47" spans="1:5">
      <c r="A47" s="14" t="s">
        <v>64</v>
      </c>
      <c r="B47" s="14">
        <f>COUNTIFS(Style_24!$E$2:$E$25,A47,Style_24!$K$2:$K$25,"&lt;&gt;")</f>
        <v>0</v>
      </c>
      <c r="C47" s="14">
        <f>COUNTIFS(Style_24!$E$2:$E$25,A47,Style_24!$K$2:$K$25,"yes")</f>
        <v>0</v>
      </c>
      <c r="D47" s="43" t="str">
        <f>IF(B47=0,"",C47/B47)</f>
        <v/>
      </c>
    </row>
    <row r="48" spans="1:5">
      <c r="A48" s="16" t="s">
        <v>77</v>
      </c>
      <c r="B48" s="16">
        <f>COUNTIFS(Style_24!$E$2:$E$25,A48,Style_24!$K$2:$K$25,"&lt;&gt;")</f>
        <v>0</v>
      </c>
      <c r="C48" s="16">
        <f>COUNTIFS(Style_24!$E$2:$E$25,A48,Style_24!$K$2:$K$25,"yes")</f>
        <v>0</v>
      </c>
      <c r="D48" s="44" t="str">
        <f>IF(B48=0,"",C48/B48)</f>
        <v/>
      </c>
    </row>
    <row r="49" spans="1:5">
      <c r="A49" s="18" t="s">
        <v>90</v>
      </c>
      <c r="B49" s="18">
        <f>COUNTIFS(Style_24!$E$2:$E$25,A49,Style_24!$K$2:$K$25,"&lt;&gt;")</f>
        <v>0</v>
      </c>
      <c r="C49" s="18">
        <f>COUNTIFS(Style_24!$E$2:$E$25,A49,Style_24!$K$2:$K$25,"yes")</f>
        <v>0</v>
      </c>
      <c r="D49" s="45" t="str">
        <f>IF(B49=0,"",C49/B49)</f>
        <v/>
      </c>
    </row>
    <row r="52" spans="1:5" ht="22" customHeight="1">
      <c r="A52" s="46" t="s">
        <v>320</v>
      </c>
      <c r="B52" s="46" t="s">
        <v>296</v>
      </c>
      <c r="C52" s="46" t="s">
        <v>290</v>
      </c>
      <c r="D52" s="46" t="s">
        <v>297</v>
      </c>
      <c r="E52" s="46" t="s">
        <v>298</v>
      </c>
    </row>
    <row r="53" spans="1:5" ht="16.5" customHeight="1">
      <c r="A53" t="s">
        <v>314</v>
      </c>
      <c r="B53">
        <f>COUNTIF(Comic_24!$K$2:$K$25,"&lt;&gt;")</f>
        <v>0</v>
      </c>
      <c r="C53" s="42">
        <f>B53/24</f>
        <v>0</v>
      </c>
    </row>
    <row r="54" spans="1:5" ht="16.5" customHeight="1">
      <c r="A54" t="s">
        <v>315</v>
      </c>
      <c r="B54">
        <f>COUNTIF(Comic_24!$K$2:$K$25,"yes")</f>
        <v>0</v>
      </c>
      <c r="C54" s="42" t="str">
        <f>IF(B53=0,"",B54/B53)</f>
        <v/>
      </c>
      <c r="D54" s="42" t="str">
        <f>IF(B53=0,"",((C54+$B$3^2/(2*B53))/(1+$B$3^2/B53))-$B$3*SQRT((C54*(1-C54)/B53+$B$3^2/(4*B53^2))/(1+$B$3^2/B53)^2))</f>
        <v/>
      </c>
      <c r="E54" s="42" t="str">
        <f>IF(B53=0,"",((C54+$B$3^2/(2*B53))/(1+$B$3^2/B53))+$B$3*SQRT((C54*(1-C54)/B53+$B$3^2/(4*B53^2))/(1+$B$3^2/B53)^2))</f>
        <v/>
      </c>
    </row>
    <row r="55" spans="1:5" ht="16.5" customHeight="1">
      <c r="A55" t="s">
        <v>316</v>
      </c>
      <c r="B55">
        <f>COUNTIF(Comic_24!$L$2:$L$25,"yes")</f>
        <v>0</v>
      </c>
      <c r="C55" s="42" t="str">
        <f>IF(COUNTIF(Comic_24!$L$2:$L$25,"&lt;&gt;")=0,"",B55/COUNTIF(Comic_24!$L$2:$L$25,"&lt;&gt;"))</f>
        <v/>
      </c>
    </row>
    <row r="56" spans="1:5" ht="16.5" customHeight="1"/>
    <row r="57" spans="1:5" ht="22" customHeight="1">
      <c r="A57" s="46" t="s">
        <v>321</v>
      </c>
      <c r="B57" s="46" t="s">
        <v>307</v>
      </c>
      <c r="C57" s="46" t="s">
        <v>318</v>
      </c>
      <c r="D57" s="46" t="s">
        <v>308</v>
      </c>
    </row>
    <row r="58" spans="1:5" ht="16.5" customHeight="1">
      <c r="A58" t="s">
        <v>63</v>
      </c>
      <c r="B58">
        <f>COUNTIFS(Comic_24!$D$2:$D$25,A58,Comic_24!$K$2:$K$25,"&lt;&gt;")</f>
        <v>0</v>
      </c>
      <c r="C58">
        <f>COUNTIFS(Comic_24!$D$2:$D$25,A58,Comic_24!$K$2:$K$25,"yes")</f>
        <v>0</v>
      </c>
      <c r="D58" s="42" t="str">
        <f>IF(B58=0,"",C58/B58)</f>
        <v/>
      </c>
    </row>
    <row r="59" spans="1:5" ht="16.5" customHeight="1">
      <c r="A59" t="s">
        <v>104</v>
      </c>
      <c r="B59">
        <f>COUNTIFS(Comic_24!$D$2:$D$25,A59,Comic_24!$K$2:$K$25,"&lt;&gt;")</f>
        <v>0</v>
      </c>
      <c r="C59">
        <f>COUNTIFS(Comic_24!$D$2:$D$25,A59,Comic_24!$K$2:$K$25,"yes")</f>
        <v>0</v>
      </c>
      <c r="D59" s="42" t="str">
        <f>IF(B59=0,"",C59/B59)</f>
        <v/>
      </c>
    </row>
    <row r="60" spans="1:5" ht="16.5" customHeight="1">
      <c r="A60" t="s">
        <v>130</v>
      </c>
      <c r="B60">
        <f>COUNTIFS(Comic_24!$D$2:$D$25,A60,Comic_24!$K$2:$K$25,"&lt;&gt;")</f>
        <v>0</v>
      </c>
      <c r="C60">
        <f>COUNTIFS(Comic_24!$D$2:$D$25,A60,Comic_24!$K$2:$K$25,"yes")</f>
        <v>0</v>
      </c>
      <c r="D60" s="42" t="str">
        <f>IF(B60=0,"",C60/B60)</f>
        <v/>
      </c>
    </row>
    <row r="61" spans="1:5" ht="16.5" customHeight="1">
      <c r="A61" t="s">
        <v>156</v>
      </c>
      <c r="B61">
        <f>COUNTIFS(Comic_24!$D$2:$D$25,A61,Comic_24!$K$2:$K$25,"&lt;&gt;")</f>
        <v>0</v>
      </c>
      <c r="C61">
        <f>COUNTIFS(Comic_24!$D$2:$D$25,A61,Comic_24!$K$2:$K$25,"yes")</f>
        <v>0</v>
      </c>
      <c r="D61" s="42" t="str">
        <f>IF(B61=0,"",C61/B61)</f>
        <v/>
      </c>
    </row>
    <row r="62" spans="1:5" ht="16.5" customHeight="1"/>
    <row r="63" spans="1:5" ht="22" customHeight="1">
      <c r="A63" s="46" t="s">
        <v>322</v>
      </c>
      <c r="B63" s="46" t="s">
        <v>307</v>
      </c>
      <c r="C63" s="46" t="s">
        <v>318</v>
      </c>
      <c r="D63" s="46" t="s">
        <v>308</v>
      </c>
    </row>
    <row r="64" spans="1:5" ht="16.5" customHeight="1">
      <c r="A64" t="s">
        <v>64</v>
      </c>
      <c r="B64">
        <f>COUNTIFS(Comic_24!$E$2:$E$25,A64,Comic_24!$K$2:$K$25,"&lt;&gt;")</f>
        <v>0</v>
      </c>
      <c r="C64">
        <f>COUNTIFS(Comic_24!$E$2:$E$25,A64,Comic_24!$K$2:$K$25,"yes")</f>
        <v>0</v>
      </c>
      <c r="D64" s="42" t="str">
        <f>IF(B64=0,"",C64/B64)</f>
        <v/>
      </c>
    </row>
    <row r="65" spans="1:4" ht="16.5" customHeight="1">
      <c r="A65" t="s">
        <v>77</v>
      </c>
      <c r="B65">
        <f>COUNTIFS(Comic_24!$E$2:$E$25,A65,Comic_24!$K$2:$K$25,"&lt;&gt;")</f>
        <v>0</v>
      </c>
      <c r="C65">
        <f>COUNTIFS(Comic_24!$E$2:$E$25,A65,Comic_24!$K$2:$K$25,"yes")</f>
        <v>0</v>
      </c>
      <c r="D65" s="42" t="str">
        <f>IF(B65=0,"",C65/B65)</f>
        <v/>
      </c>
    </row>
    <row r="66" spans="1:4" ht="16.5" customHeight="1">
      <c r="A66" t="s">
        <v>90</v>
      </c>
      <c r="B66">
        <f>COUNTIFS(Comic_24!$E$2:$E$25,A66,Comic_24!$K$2:$K$25,"&lt;&gt;")</f>
        <v>0</v>
      </c>
      <c r="C66">
        <f>COUNTIFS(Comic_24!$E$2:$E$25,A66,Comic_24!$K$2:$K$25,"yes")</f>
        <v>0</v>
      </c>
      <c r="D66" s="42" t="str">
        <f>IF(B66=0,"",C66/B66)</f>
        <v/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Verifier_168</vt:lpstr>
      <vt:lpstr>Style_24</vt:lpstr>
      <vt:lpstr>Comic_24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michael.hagmann</cp:lastModifiedBy>
  <dcterms:modified xsi:type="dcterms:W3CDTF">2026-09-02T12:52:26Z</dcterms:modified>
</cp:coreProperties>
</file>